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Итого" sheetId="2" state="visible" r:id="rId2"/>
    <sheet xmlns:r="http://schemas.openxmlformats.org/officeDocument/2006/relationships" name="Как пользоваться" sheetId="3" state="visible" r:id="rId3"/>
  </sheets>
  <definedNames>
    <definedName name="_xlnm._FilterDatabase" localSheetId="0" hidden="1">'stock'!$A$1:$H$124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888888"/>
      <sz val="9"/>
    </font>
    <font>
      <b val="1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CFF3A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B3B3"/>
        </patternFill>
      </fill>
    </dxf>
    <dxf>
      <fill>
        <patternFill patternType="solid">
          <fgColor rgb="00FFF2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42" customWidth="1" min="3" max="3"/>
    <col width="10" customWidth="1" min="4" max="4"/>
    <col width="16" customWidth="1" min="5" max="5"/>
    <col width="10" customWidth="1" min="6" max="6"/>
    <col width="18" customWidth="1" min="7" max="7"/>
    <col width="9" customWidth="1" min="8" max="8"/>
  </cols>
  <sheetData>
    <row r="1">
      <c r="A1" s="1" t="inlineStr">
        <is>
          <t>sku (не менять)</t>
        </is>
      </c>
      <c r="B1" s="1" t="inlineStr">
        <is>
          <t>фото</t>
        </is>
      </c>
      <c r="C1" s="1" t="inlineStr">
        <is>
          <t>товар</t>
        </is>
      </c>
      <c r="D1" s="1" t="inlineStr">
        <is>
          <t>размер</t>
        </is>
      </c>
      <c r="E1" s="1" t="inlineStr">
        <is>
          <t>цвет</t>
        </is>
      </c>
      <c r="F1" s="1" t="inlineStr">
        <is>
          <t>остаток</t>
        </is>
      </c>
      <c r="G1" s="1" t="inlineStr">
        <is>
          <t>категория</t>
        </is>
      </c>
      <c r="H1" s="1" t="inlineStr">
        <is>
          <t>цена, ₽</t>
        </is>
      </c>
    </row>
    <row r="2" ht="64" customHeight="1">
      <c r="A2" s="2" t="inlineStr">
        <is>
          <t>women-socks-bowknot-35-40-cream</t>
        </is>
      </c>
      <c r="B2" s="3">
        <f>IMAGE("https://nosinoski.ru/products/women-socks-bowknot/1792100000014.jpg")</f>
        <v/>
      </c>
      <c r="C2" s="3" t="inlineStr">
        <is>
          <t>Женские носки «Bowknot» с рюшей</t>
        </is>
      </c>
      <c r="D2" s="3" t="inlineStr">
        <is>
          <t>35-40</t>
        </is>
      </c>
      <c r="E2" s="3" t="inlineStr">
        <is>
          <t>Молочные</t>
        </is>
      </c>
      <c r="F2" s="4" t="n">
        <v>5</v>
      </c>
      <c r="G2" s="3" t="inlineStr">
        <is>
          <t>Женские носки</t>
        </is>
      </c>
      <c r="H2" s="3" t="n">
        <v>220</v>
      </c>
    </row>
    <row r="3" ht="64" customHeight="1">
      <c r="A3" s="2" t="inlineStr">
        <is>
          <t>women-socks-bowknot-35-40-navy</t>
        </is>
      </c>
      <c r="B3" s="3">
        <f>IMAGE("https://nosinoski.ru/products/women-socks-bowknot/1792100000014.jpg")</f>
        <v/>
      </c>
      <c r="C3" s="3" t="inlineStr">
        <is>
          <t>Женские носки «Bowknot» с рюшей</t>
        </is>
      </c>
      <c r="D3" s="3" t="inlineStr">
        <is>
          <t>35-40</t>
        </is>
      </c>
      <c r="E3" s="3" t="inlineStr">
        <is>
          <t>Тёмно-синие</t>
        </is>
      </c>
      <c r="F3" s="4" t="n">
        <v>5</v>
      </c>
      <c r="G3" s="3" t="inlineStr">
        <is>
          <t>Женские носки</t>
        </is>
      </c>
      <c r="H3" s="3" t="n">
        <v>220</v>
      </c>
    </row>
    <row r="4" ht="64" customHeight="1">
      <c r="A4" s="2" t="inlineStr">
        <is>
          <t>women-socks-bowknot-35-40-black</t>
        </is>
      </c>
      <c r="B4" s="3">
        <f>IMAGE("https://nosinoski.ru/products/women-socks-bowknot/1792100000014.jpg")</f>
        <v/>
      </c>
      <c r="C4" s="3" t="inlineStr">
        <is>
          <t>Женские носки «Bowknot» с рюшей</t>
        </is>
      </c>
      <c r="D4" s="3" t="inlineStr">
        <is>
          <t>35-40</t>
        </is>
      </c>
      <c r="E4" s="3" t="inlineStr">
        <is>
          <t>Чёрные</t>
        </is>
      </c>
      <c r="F4" s="4" t="n">
        <v>5</v>
      </c>
      <c r="G4" s="3" t="inlineStr">
        <is>
          <t>Женские носки</t>
        </is>
      </c>
      <c r="H4" s="3" t="n">
        <v>220</v>
      </c>
    </row>
    <row r="5" ht="64" customHeight="1">
      <c r="A5" s="2" t="inlineStr">
        <is>
          <t>women-socks-flowers-35-40-beige</t>
        </is>
      </c>
      <c r="B5" s="3">
        <f>IMAGE("https://nosinoski.ru/products/women-socks-flowers/1792100000011.jpg")</f>
        <v/>
      </c>
      <c r="C5" s="3" t="inlineStr">
        <is>
          <t>Женские носки «Цветочки», мягкая резинка</t>
        </is>
      </c>
      <c r="D5" s="3" t="inlineStr">
        <is>
          <t>35-40</t>
        </is>
      </c>
      <c r="E5" s="3" t="inlineStr">
        <is>
          <t>Бежевые</t>
        </is>
      </c>
      <c r="F5" s="4" t="n">
        <v>5</v>
      </c>
      <c r="G5" s="3" t="inlineStr">
        <is>
          <t>Женские носки</t>
        </is>
      </c>
      <c r="H5" s="3" t="n">
        <v>220</v>
      </c>
    </row>
    <row r="6" ht="64" customHeight="1">
      <c r="A6" s="2" t="inlineStr">
        <is>
          <t>women-socks-flowers-35-40-lilac</t>
        </is>
      </c>
      <c r="B6" s="3">
        <f>IMAGE("https://nosinoski.ru/products/women-socks-flowers/1792100000011.jpg")</f>
        <v/>
      </c>
      <c r="C6" s="3" t="inlineStr">
        <is>
          <t>Женские носки «Цветочки», мягкая резинка</t>
        </is>
      </c>
      <c r="D6" s="3" t="inlineStr">
        <is>
          <t>35-40</t>
        </is>
      </c>
      <c r="E6" s="3" t="inlineStr">
        <is>
          <t>Сиреневые</t>
        </is>
      </c>
      <c r="F6" s="4" t="n">
        <v>5</v>
      </c>
      <c r="G6" s="3" t="inlineStr">
        <is>
          <t>Женские носки</t>
        </is>
      </c>
      <c r="H6" s="3" t="n">
        <v>220</v>
      </c>
    </row>
    <row r="7" ht="64" customHeight="1">
      <c r="A7" s="2" t="inlineStr">
        <is>
          <t>women-socks-flowers-35-40-grey</t>
        </is>
      </c>
      <c r="B7" s="3">
        <f>IMAGE("https://nosinoski.ru/products/women-socks-flowers/1792100000011.jpg")</f>
        <v/>
      </c>
      <c r="C7" s="3" t="inlineStr">
        <is>
          <t>Женские носки «Цветочки», мягкая резинка</t>
        </is>
      </c>
      <c r="D7" s="3" t="inlineStr">
        <is>
          <t>35-40</t>
        </is>
      </c>
      <c r="E7" s="3" t="inlineStr">
        <is>
          <t>Тёмно-серые</t>
        </is>
      </c>
      <c r="F7" s="4" t="n">
        <v>5</v>
      </c>
      <c r="G7" s="3" t="inlineStr">
        <is>
          <t>Женские носки</t>
        </is>
      </c>
      <c r="H7" s="3" t="n">
        <v>220</v>
      </c>
    </row>
    <row r="8" ht="64" customHeight="1">
      <c r="A8" s="2" t="inlineStr">
        <is>
          <t>women-socks-ruffle-stripes-35-40-white</t>
        </is>
      </c>
      <c r="B8" s="3">
        <f>IMAGE("https://nosinoski.ru/products/women-socks-ruffle-stripes/1792100000017.jpg")</f>
        <v/>
      </c>
      <c r="C8" s="3" t="inlineStr">
        <is>
          <t>Женские носки с рюшей и полосками</t>
        </is>
      </c>
      <c r="D8" s="3" t="inlineStr">
        <is>
          <t>35-40</t>
        </is>
      </c>
      <c r="E8" s="3" t="inlineStr">
        <is>
          <t>Белые, чёрные полоски</t>
        </is>
      </c>
      <c r="F8" s="4" t="n">
        <v>5</v>
      </c>
      <c r="G8" s="3" t="inlineStr">
        <is>
          <t>Женские носки</t>
        </is>
      </c>
      <c r="H8" s="3" t="n">
        <v>220</v>
      </c>
    </row>
    <row r="9" ht="64" customHeight="1">
      <c r="A9" s="2" t="inlineStr">
        <is>
          <t>women-socks-ruffle-stripes-35-40-grey</t>
        </is>
      </c>
      <c r="B9" s="3">
        <f>IMAGE("https://nosinoski.ru/products/women-socks-ruffle-stripes/1792100000017.jpg")</f>
        <v/>
      </c>
      <c r="C9" s="3" t="inlineStr">
        <is>
          <t>Женские носки с рюшей и полосками</t>
        </is>
      </c>
      <c r="D9" s="3" t="inlineStr">
        <is>
          <t>35-40</t>
        </is>
      </c>
      <c r="E9" s="3" t="inlineStr">
        <is>
          <t>Серые, белые полоски</t>
        </is>
      </c>
      <c r="F9" s="4" t="n">
        <v>5</v>
      </c>
      <c r="G9" s="3" t="inlineStr">
        <is>
          <t>Женские носки</t>
        </is>
      </c>
      <c r="H9" s="3" t="n">
        <v>220</v>
      </c>
    </row>
    <row r="10" ht="64" customHeight="1">
      <c r="A10" s="2" t="inlineStr">
        <is>
          <t>women-socks-glam-35-40-white</t>
        </is>
      </c>
      <c r="B10" s="3">
        <f>IMAGE("https://nosinoski.ru/products/women-socks-glam/1792100000020.jpg")</f>
        <v/>
      </c>
      <c r="C10" s="3" t="inlineStr">
        <is>
          <t>Носки Glam Socks, белые</t>
        </is>
      </c>
      <c r="D10" s="3" t="inlineStr">
        <is>
          <t>35-40</t>
        </is>
      </c>
      <c r="E10" s="3" t="inlineStr">
        <is>
          <t>Белые</t>
        </is>
      </c>
      <c r="F10" s="4" t="n">
        <v>5</v>
      </c>
      <c r="G10" s="3" t="inlineStr">
        <is>
          <t>Женские носки</t>
        </is>
      </c>
      <c r="H10" s="3" t="n">
        <v>200</v>
      </c>
    </row>
    <row r="11" ht="64" customHeight="1">
      <c r="A11" s="2" t="inlineStr">
        <is>
          <t>women-socks-glam-35-40-whitegrey</t>
        </is>
      </c>
      <c r="B11" s="3">
        <f>IMAGE("https://nosinoski.ru/products/women-socks-glam/1792100000020.jpg")</f>
        <v/>
      </c>
      <c r="C11" s="3" t="inlineStr">
        <is>
          <t>Носки Glam Socks, белые</t>
        </is>
      </c>
      <c r="D11" s="3" t="inlineStr">
        <is>
          <t>35-40</t>
        </is>
      </c>
      <c r="E11" s="3" t="inlineStr">
        <is>
          <t>Белые с серой вставкой</t>
        </is>
      </c>
      <c r="F11" s="4" t="n">
        <v>5</v>
      </c>
      <c r="G11" s="3" t="inlineStr">
        <is>
          <t>Женские носки</t>
        </is>
      </c>
      <c r="H11" s="3" t="n">
        <v>200</v>
      </c>
    </row>
    <row r="12" ht="64" customHeight="1">
      <c r="A12" s="2" t="inlineStr">
        <is>
          <t>socks-bows-35-40-blue</t>
        </is>
      </c>
      <c r="B12" s="3">
        <f>IMAGE("https://nosinoski.ru/products/socks-bows/1792040197931.jpg")</f>
        <v/>
      </c>
      <c r="C12" s="3" t="inlineStr">
        <is>
          <t>Носки «Бантики»</t>
        </is>
      </c>
      <c r="D12" s="3" t="inlineStr">
        <is>
          <t>35-40</t>
        </is>
      </c>
      <c r="E12" s="3" t="inlineStr">
        <is>
          <t>Голубой (оранжевый бант)</t>
        </is>
      </c>
      <c r="F12" s="4" t="n">
        <v>5</v>
      </c>
      <c r="G12" s="3" t="inlineStr">
        <is>
          <t>Женские носки</t>
        </is>
      </c>
      <c r="H12" s="3" t="n">
        <v>250</v>
      </c>
    </row>
    <row r="13" ht="64" customHeight="1">
      <c r="A13" s="2" t="inlineStr">
        <is>
          <t>socks-bows-35-40-cream</t>
        </is>
      </c>
      <c r="B13" s="3">
        <f>IMAGE("https://nosinoski.ru/products/socks-bows/1792040197931.jpg")</f>
        <v/>
      </c>
      <c r="C13" s="3" t="inlineStr">
        <is>
          <t>Носки «Бантики»</t>
        </is>
      </c>
      <c r="D13" s="3" t="inlineStr">
        <is>
          <t>35-40</t>
        </is>
      </c>
      <c r="E13" s="3" t="inlineStr">
        <is>
          <t>Кремовый (розовый бант)</t>
        </is>
      </c>
      <c r="F13" s="4" t="n">
        <v>5</v>
      </c>
      <c r="G13" s="3" t="inlineStr">
        <is>
          <t>Женские носки</t>
        </is>
      </c>
      <c r="H13" s="3" t="n">
        <v>250</v>
      </c>
    </row>
    <row r="14" ht="64" customHeight="1">
      <c r="A14" s="2" t="inlineStr">
        <is>
          <t>socks-bows-35-40-black</t>
        </is>
      </c>
      <c r="B14" s="3">
        <f>IMAGE("https://nosinoski.ru/products/socks-bows/1792040197931.jpg")</f>
        <v/>
      </c>
      <c r="C14" s="3" t="inlineStr">
        <is>
          <t>Носки «Бантики»</t>
        </is>
      </c>
      <c r="D14" s="3" t="inlineStr">
        <is>
          <t>35-40</t>
        </is>
      </c>
      <c r="E14" s="3" t="inlineStr">
        <is>
          <t>Чёрный (красный бант)</t>
        </is>
      </c>
      <c r="F14" s="4" t="n">
        <v>5</v>
      </c>
      <c r="G14" s="3" t="inlineStr">
        <is>
          <t>Женские носки</t>
        </is>
      </c>
      <c r="H14" s="3" t="n">
        <v>250</v>
      </c>
    </row>
    <row r="15" ht="64" customHeight="1">
      <c r="A15" s="2" t="inlineStr">
        <is>
          <t>socks-leopard-letter-35-40-ivory</t>
        </is>
      </c>
      <c r="B15" s="3">
        <f>IMAGE("https://nosinoski.ru/products/socks-leopard-letter/1791995509498.jpg")</f>
        <v/>
      </c>
      <c r="C15" s="3" t="inlineStr">
        <is>
          <t>Носки «Леопардовая буква»</t>
        </is>
      </c>
      <c r="D15" s="3" t="inlineStr">
        <is>
          <t>35-40</t>
        </is>
      </c>
      <c r="E15" s="3" t="inlineStr">
        <is>
          <t>Молочный (буква C)</t>
        </is>
      </c>
      <c r="F15" s="4" t="n">
        <v>5</v>
      </c>
      <c r="G15" s="3" t="inlineStr">
        <is>
          <t>Женские носки</t>
        </is>
      </c>
      <c r="H15" s="3" t="n">
        <v>250</v>
      </c>
    </row>
    <row r="16" ht="64" customHeight="1">
      <c r="A16" s="2" t="inlineStr">
        <is>
          <t>socks-leopard-letter-35-40-gray</t>
        </is>
      </c>
      <c r="B16" s="3">
        <f>IMAGE("https://nosinoski.ru/products/socks-leopard-letter/1791995509498.jpg")</f>
        <v/>
      </c>
      <c r="C16" s="3" t="inlineStr">
        <is>
          <t>Носки «Леопардовая буква»</t>
        </is>
      </c>
      <c r="D16" s="3" t="inlineStr">
        <is>
          <t>35-40</t>
        </is>
      </c>
      <c r="E16" s="3" t="inlineStr">
        <is>
          <t>Серый меланж (буква P)</t>
        </is>
      </c>
      <c r="F16" s="4" t="n">
        <v>5</v>
      </c>
      <c r="G16" s="3" t="inlineStr">
        <is>
          <t>Женские носки</t>
        </is>
      </c>
      <c r="H16" s="3" t="n">
        <v>250</v>
      </c>
    </row>
    <row r="17" ht="64" customHeight="1">
      <c r="A17" s="2" t="inlineStr">
        <is>
          <t>socks-mini-bows-35-40-white</t>
        </is>
      </c>
      <c r="B17" s="3">
        <f>IMAGE("https://nosinoski.ru/products/socks-mini-bows/1792040198002.jpg")</f>
        <v/>
      </c>
      <c r="C17" s="3" t="inlineStr">
        <is>
          <t>Носки «Мини-бантики» с рюшей</t>
        </is>
      </c>
      <c r="D17" s="3" t="inlineStr">
        <is>
          <t>35-40</t>
        </is>
      </c>
      <c r="E17" s="3" t="inlineStr">
        <is>
          <t>Белый с тёмно-синими бантиками</t>
        </is>
      </c>
      <c r="F17" s="4" t="n">
        <v>5</v>
      </c>
      <c r="G17" s="3" t="inlineStr">
        <is>
          <t>Женские носки</t>
        </is>
      </c>
      <c r="H17" s="3" t="n">
        <v>250</v>
      </c>
    </row>
    <row r="18" ht="64" customHeight="1">
      <c r="A18" s="2" t="inlineStr">
        <is>
          <t>socks-teddy-1986-35-40-white</t>
        </is>
      </c>
      <c r="B18" s="3">
        <f>IMAGE("https://nosinoski.ru/products/socks-teddy-1986/1791995509457.jpg")</f>
        <v/>
      </c>
      <c r="C18" s="3" t="inlineStr">
        <is>
          <t>Носки «Мишка Teddy 1986»</t>
        </is>
      </c>
      <c r="D18" s="3" t="inlineStr">
        <is>
          <t>35-40</t>
        </is>
      </c>
      <c r="E18" s="3" t="inlineStr">
        <is>
          <t>Белый</t>
        </is>
      </c>
      <c r="F18" s="4" t="n">
        <v>5</v>
      </c>
      <c r="G18" s="3" t="inlineStr">
        <is>
          <t>Женские носки</t>
        </is>
      </c>
      <c r="H18" s="3" t="n">
        <v>250</v>
      </c>
    </row>
    <row r="19" ht="64" customHeight="1">
      <c r="A19" s="2" t="inlineStr">
        <is>
          <t>socks-teddy-1986-35-40-navy</t>
        </is>
      </c>
      <c r="B19" s="3">
        <f>IMAGE("https://nosinoski.ru/products/socks-teddy-1986/1791995509457.jpg")</f>
        <v/>
      </c>
      <c r="C19" s="3" t="inlineStr">
        <is>
          <t>Носки «Мишка Teddy 1986»</t>
        </is>
      </c>
      <c r="D19" s="3" t="inlineStr">
        <is>
          <t>35-40</t>
        </is>
      </c>
      <c r="E19" s="3" t="inlineStr">
        <is>
          <t>Тёмно-синий</t>
        </is>
      </c>
      <c r="F19" s="4" t="n">
        <v>5</v>
      </c>
      <c r="G19" s="3" t="inlineStr">
        <is>
          <t>Женские носки</t>
        </is>
      </c>
      <c r="H19" s="3" t="n">
        <v>250</v>
      </c>
    </row>
    <row r="20" ht="64" customHeight="1">
      <c r="A20" s="2" t="inlineStr">
        <is>
          <t>socks-teddy-1986-35-40-black</t>
        </is>
      </c>
      <c r="B20" s="3">
        <f>IMAGE("https://nosinoski.ru/products/socks-teddy-1986/1791995509457.jpg")</f>
        <v/>
      </c>
      <c r="C20" s="3" t="inlineStr">
        <is>
          <t>Носки «Мишка Teddy 1986»</t>
        </is>
      </c>
      <c r="D20" s="3" t="inlineStr">
        <is>
          <t>35-40</t>
        </is>
      </c>
      <c r="E20" s="3" t="inlineStr">
        <is>
          <t>Чёрный</t>
        </is>
      </c>
      <c r="F20" s="4" t="n">
        <v>5</v>
      </c>
      <c r="G20" s="3" t="inlineStr">
        <is>
          <t>Женские носки</t>
        </is>
      </c>
      <c r="H20" s="3" t="n">
        <v>250</v>
      </c>
    </row>
    <row r="21" ht="64" customHeight="1">
      <c r="A21" s="2" t="inlineStr">
        <is>
          <t>socks-fluffy-smile-35-40-red</t>
        </is>
      </c>
      <c r="B21" s="3">
        <f>IMAGE("https://nosinoski.ru/products/socks-fluffy-smile/1792040198058.jpg")</f>
        <v/>
      </c>
      <c r="C21" s="3" t="inlineStr">
        <is>
          <t>Носки «Плюшевый смайл»</t>
        </is>
      </c>
      <c r="D21" s="3" t="inlineStr">
        <is>
          <t>35-40</t>
        </is>
      </c>
      <c r="E21" s="3" t="inlineStr">
        <is>
          <t>Бордовый</t>
        </is>
      </c>
      <c r="F21" s="4" t="n">
        <v>5</v>
      </c>
      <c r="G21" s="3" t="inlineStr">
        <is>
          <t>Женские носки</t>
        </is>
      </c>
      <c r="H21" s="3" t="n">
        <v>250</v>
      </c>
    </row>
    <row r="22" ht="64" customHeight="1">
      <c r="A22" s="2" t="inlineStr">
        <is>
          <t>socks-fluffy-smile-35-40-cream</t>
        </is>
      </c>
      <c r="B22" s="3">
        <f>IMAGE("https://nosinoski.ru/products/socks-fluffy-smile/1792040198058.jpg")</f>
        <v/>
      </c>
      <c r="C22" s="3" t="inlineStr">
        <is>
          <t>Носки «Плюшевый смайл»</t>
        </is>
      </c>
      <c r="D22" s="3" t="inlineStr">
        <is>
          <t>35-40</t>
        </is>
      </c>
      <c r="E22" s="3" t="inlineStr">
        <is>
          <t>Молочный</t>
        </is>
      </c>
      <c r="F22" s="4" t="n">
        <v>5</v>
      </c>
      <c r="G22" s="3" t="inlineStr">
        <is>
          <t>Женские носки</t>
        </is>
      </c>
      <c r="H22" s="3" t="n">
        <v>250</v>
      </c>
    </row>
    <row r="23" ht="64" customHeight="1">
      <c r="A23" s="2" t="inlineStr">
        <is>
          <t>socks-fluffy-smile-35-40-gray</t>
        </is>
      </c>
      <c r="B23" s="3">
        <f>IMAGE("https://nosinoski.ru/products/socks-fluffy-smile/1792040198058.jpg")</f>
        <v/>
      </c>
      <c r="C23" s="3" t="inlineStr">
        <is>
          <t>Носки «Плюшевый смайл»</t>
        </is>
      </c>
      <c r="D23" s="3" t="inlineStr">
        <is>
          <t>35-40</t>
        </is>
      </c>
      <c r="E23" s="3" t="inlineStr">
        <is>
          <t>Серый</t>
        </is>
      </c>
      <c r="F23" s="4" t="n">
        <v>5</v>
      </c>
      <c r="G23" s="3" t="inlineStr">
        <is>
          <t>Женские носки</t>
        </is>
      </c>
      <c r="H23" s="3" t="n">
        <v>250</v>
      </c>
    </row>
    <row r="24" ht="64" customHeight="1">
      <c r="A24" s="2" t="inlineStr">
        <is>
          <t>socks-fluffy-smile-35-40-black</t>
        </is>
      </c>
      <c r="B24" s="3">
        <f>IMAGE("https://nosinoski.ru/products/socks-fluffy-smile/1792040198058.jpg")</f>
        <v/>
      </c>
      <c r="C24" s="3" t="inlineStr">
        <is>
          <t>Носки «Плюшевый смайл»</t>
        </is>
      </c>
      <c r="D24" s="3" t="inlineStr">
        <is>
          <t>35-40</t>
        </is>
      </c>
      <c r="E24" s="3" t="inlineStr">
        <is>
          <t>Чёрный</t>
        </is>
      </c>
      <c r="F24" s="4" t="n">
        <v>5</v>
      </c>
      <c r="G24" s="3" t="inlineStr">
        <is>
          <t>Женские носки</t>
        </is>
      </c>
      <c r="H24" s="3" t="n">
        <v>250</v>
      </c>
    </row>
    <row r="25" ht="64" customHeight="1">
      <c r="A25" s="2" t="inlineStr">
        <is>
          <t>socks-roses-35-40-cream</t>
        </is>
      </c>
      <c r="B25" s="3">
        <f>IMAGE("https://nosinoski.ru/products/socks-roses/1792040198036.jpg")</f>
        <v/>
      </c>
      <c r="C25" s="3" t="inlineStr">
        <is>
          <t>Носки «Розы»</t>
        </is>
      </c>
      <c r="D25" s="3" t="inlineStr">
        <is>
          <t>35-40</t>
        </is>
      </c>
      <c r="E25" s="3" t="inlineStr">
        <is>
          <t>Молочный с чёрными розами</t>
        </is>
      </c>
      <c r="F25" s="4" t="n">
        <v>5</v>
      </c>
      <c r="G25" s="3" t="inlineStr">
        <is>
          <t>Женские носки</t>
        </is>
      </c>
      <c r="H25" s="3" t="n">
        <v>250</v>
      </c>
    </row>
    <row r="26" ht="64" customHeight="1">
      <c r="A26" s="2" t="inlineStr">
        <is>
          <t>socks-roses-35-40-black</t>
        </is>
      </c>
      <c r="B26" s="3">
        <f>IMAGE("https://nosinoski.ru/products/socks-roses/1792040198036.jpg")</f>
        <v/>
      </c>
      <c r="C26" s="3" t="inlineStr">
        <is>
          <t>Носки «Розы»</t>
        </is>
      </c>
      <c r="D26" s="3" t="inlineStr">
        <is>
          <t>35-40</t>
        </is>
      </c>
      <c r="E26" s="3" t="inlineStr">
        <is>
          <t>Чёрный с белыми розами</t>
        </is>
      </c>
      <c r="F26" s="4" t="n">
        <v>5</v>
      </c>
      <c r="G26" s="3" t="inlineStr">
        <is>
          <t>Женские носки</t>
        </is>
      </c>
      <c r="H26" s="3" t="n">
        <v>250</v>
      </c>
    </row>
    <row r="27" ht="64" customHeight="1">
      <c r="A27" s="2" t="inlineStr">
        <is>
          <t>socks-smile-upside-35-40-white</t>
        </is>
      </c>
      <c r="B27" s="3">
        <f>IMAGE("https://nosinoski.ru/products/socks-smile-upside/1792040948963.jpg")</f>
        <v/>
      </c>
      <c r="C27" s="3" t="inlineStr">
        <is>
          <t>Носки «Смайлик-класс»</t>
        </is>
      </c>
      <c r="D27" s="3" t="inlineStr">
        <is>
          <t>35-40</t>
        </is>
      </c>
      <c r="E27" s="3" t="inlineStr">
        <is>
          <t>Белый</t>
        </is>
      </c>
      <c r="F27" s="4" t="n">
        <v>5</v>
      </c>
      <c r="G27" s="3" t="inlineStr">
        <is>
          <t>Женские носки</t>
        </is>
      </c>
      <c r="H27" s="3" t="n">
        <v>250</v>
      </c>
    </row>
    <row r="28" ht="64" customHeight="1">
      <c r="A28" s="2" t="inlineStr">
        <is>
          <t>socks-smile-upside-35-40-gray</t>
        </is>
      </c>
      <c r="B28" s="3">
        <f>IMAGE("https://nosinoski.ru/products/socks-smile-upside/1792040948963.jpg")</f>
        <v/>
      </c>
      <c r="C28" s="3" t="inlineStr">
        <is>
          <t>Носки «Смайлик-класс»</t>
        </is>
      </c>
      <c r="D28" s="3" t="inlineStr">
        <is>
          <t>35-40</t>
        </is>
      </c>
      <c r="E28" s="3" t="inlineStr">
        <is>
          <t>Серый</t>
        </is>
      </c>
      <c r="F28" s="4" t="n">
        <v>5</v>
      </c>
      <c r="G28" s="3" t="inlineStr">
        <is>
          <t>Женские носки</t>
        </is>
      </c>
      <c r="H28" s="3" t="n">
        <v>250</v>
      </c>
    </row>
    <row r="29" ht="64" customHeight="1">
      <c r="A29" s="2" t="inlineStr">
        <is>
          <t>socks-smile-upside-35-40-black</t>
        </is>
      </c>
      <c r="B29" s="3">
        <f>IMAGE("https://nosinoski.ru/products/socks-smile-upside/1792040948963.jpg")</f>
        <v/>
      </c>
      <c r="C29" s="3" t="inlineStr">
        <is>
          <t>Носки «Смайлик-класс»</t>
        </is>
      </c>
      <c r="D29" s="3" t="inlineStr">
        <is>
          <t>35-40</t>
        </is>
      </c>
      <c r="E29" s="3" t="inlineStr">
        <is>
          <t>Чёрный</t>
        </is>
      </c>
      <c r="F29" s="4" t="n">
        <v>5</v>
      </c>
      <c r="G29" s="3" t="inlineStr">
        <is>
          <t>Женские носки</t>
        </is>
      </c>
      <c r="H29" s="3" t="n">
        <v>250</v>
      </c>
    </row>
    <row r="30" ht="64" customHeight="1">
      <c r="A30" s="2" t="inlineStr">
        <is>
          <t>men-socks-slazenger-short-40-45-grey</t>
        </is>
      </c>
      <c r="B30" s="3">
        <f>IMAGE("https://nosinoski.ru/products/men-socks-slazenger-short/1792100000063.jpg")</f>
        <v/>
      </c>
      <c r="C30" s="3" t="inlineStr">
        <is>
          <t>Мужские короткие носки Slazenger</t>
        </is>
      </c>
      <c r="D30" s="3" t="inlineStr">
        <is>
          <t>40-45</t>
        </is>
      </c>
      <c r="E30" s="3" t="inlineStr">
        <is>
          <t>Серые</t>
        </is>
      </c>
      <c r="F30" s="4" t="n">
        <v>5</v>
      </c>
      <c r="G30" s="3" t="inlineStr">
        <is>
          <t>Мужские носки</t>
        </is>
      </c>
      <c r="H30" s="3" t="n">
        <v>200</v>
      </c>
    </row>
    <row r="31" ht="64" customHeight="1">
      <c r="A31" s="2" t="inlineStr">
        <is>
          <t>men-socks-slazenger-short-40-45-black</t>
        </is>
      </c>
      <c r="B31" s="3">
        <f>IMAGE("https://nosinoski.ru/products/men-socks-slazenger-short/1792100000063.jpg")</f>
        <v/>
      </c>
      <c r="C31" s="3" t="inlineStr">
        <is>
          <t>Мужские короткие носки Slazenger</t>
        </is>
      </c>
      <c r="D31" s="3" t="inlineStr">
        <is>
          <t>40-45</t>
        </is>
      </c>
      <c r="E31" s="3" t="inlineStr">
        <is>
          <t>Чёрные</t>
        </is>
      </c>
      <c r="F31" s="4" t="n">
        <v>5</v>
      </c>
      <c r="G31" s="3" t="inlineStr">
        <is>
          <t>Мужские носки</t>
        </is>
      </c>
      <c r="H31" s="3" t="n">
        <v>200</v>
      </c>
    </row>
    <row r="32" ht="64" customHeight="1">
      <c r="A32" s="2" t="inlineStr">
        <is>
          <t>men-socks-stripe-40-45-tricolor</t>
        </is>
      </c>
      <c r="B32" s="3">
        <f>IMAGE("https://nosinoski.ru/products/men-socks-stripe/1792040432061.jpg")</f>
        <v/>
      </c>
      <c r="C32" s="3" t="inlineStr">
        <is>
          <t>Мужские короткие носки «Полоска», Корея</t>
        </is>
      </c>
      <c r="D32" s="3" t="inlineStr">
        <is>
          <t>40-45</t>
        </is>
      </c>
      <c r="E32" s="3" t="inlineStr">
        <is>
          <t>Серые, полоска красно-бело-синяя</t>
        </is>
      </c>
      <c r="F32" s="4" t="n">
        <v>5</v>
      </c>
      <c r="G32" s="3" t="inlineStr">
        <is>
          <t>Мужские носки</t>
        </is>
      </c>
      <c r="H32" s="3" t="n">
        <v>220</v>
      </c>
    </row>
    <row r="33" ht="64" customHeight="1">
      <c r="A33" s="2" t="inlineStr">
        <is>
          <t>men-socks-stripe-40-45-blackblue</t>
        </is>
      </c>
      <c r="B33" s="3">
        <f>IMAGE("https://nosinoski.ru/products/men-socks-stripe/1792040432061.jpg")</f>
        <v/>
      </c>
      <c r="C33" s="3" t="inlineStr">
        <is>
          <t>Мужские короткие носки «Полоска», Корея</t>
        </is>
      </c>
      <c r="D33" s="3" t="inlineStr">
        <is>
          <t>40-45</t>
        </is>
      </c>
      <c r="E33" s="3" t="inlineStr">
        <is>
          <t>Серые, полоска чёрно-бело-синяя</t>
        </is>
      </c>
      <c r="F33" s="4" t="n">
        <v>5</v>
      </c>
      <c r="G33" s="3" t="inlineStr">
        <is>
          <t>Мужские носки</t>
        </is>
      </c>
      <c r="H33" s="3" t="n">
        <v>220</v>
      </c>
    </row>
    <row r="34" ht="64" customHeight="1">
      <c r="A34" s="2" t="inlineStr">
        <is>
          <t>men-socks-short-stripes-40-45-greygreen</t>
        </is>
      </c>
      <c r="B34" s="3">
        <f>IMAGE("https://nosinoski.ru/products/men-socks-short-stripes/1792100000060.jpg")</f>
        <v/>
      </c>
      <c r="C34" s="3" t="inlineStr">
        <is>
          <t>Мужские короткие носки «Полоски»</t>
        </is>
      </c>
      <c r="D34" s="3" t="inlineStr">
        <is>
          <t>40-45</t>
        </is>
      </c>
      <c r="E34" s="3" t="inlineStr">
        <is>
          <t>Серые, зелёная полоска</t>
        </is>
      </c>
      <c r="F34" s="4" t="n">
        <v>5</v>
      </c>
      <c r="G34" s="3" t="inlineStr">
        <is>
          <t>Мужские носки</t>
        </is>
      </c>
      <c r="H34" s="3" t="n">
        <v>220</v>
      </c>
    </row>
    <row r="35" ht="64" customHeight="1">
      <c r="A35" s="2" t="inlineStr">
        <is>
          <t>men-socks-short-stripes-40-45-greyred</t>
        </is>
      </c>
      <c r="B35" s="3">
        <f>IMAGE("https://nosinoski.ru/products/men-socks-short-stripes/1792100000060.jpg")</f>
        <v/>
      </c>
      <c r="C35" s="3" t="inlineStr">
        <is>
          <t>Мужские короткие носки «Полоски»</t>
        </is>
      </c>
      <c r="D35" s="3" t="inlineStr">
        <is>
          <t>40-45</t>
        </is>
      </c>
      <c r="E35" s="3" t="inlineStr">
        <is>
          <t>Серые, красная полоска</t>
        </is>
      </c>
      <c r="F35" s="4" t="n">
        <v>5</v>
      </c>
      <c r="G35" s="3" t="inlineStr">
        <is>
          <t>Мужские носки</t>
        </is>
      </c>
      <c r="H35" s="3" t="n">
        <v>220</v>
      </c>
    </row>
    <row r="36" ht="64" customHeight="1">
      <c r="A36" s="2" t="inlineStr">
        <is>
          <t>men-socks-short-stripes-40-45-greyblue</t>
        </is>
      </c>
      <c r="B36" s="3">
        <f>IMAGE("https://nosinoski.ru/products/men-socks-short-stripes/1792100000060.jpg")</f>
        <v/>
      </c>
      <c r="C36" s="3" t="inlineStr">
        <is>
          <t>Мужские короткие носки «Полоски»</t>
        </is>
      </c>
      <c r="D36" s="3" t="inlineStr">
        <is>
          <t>40-45</t>
        </is>
      </c>
      <c r="E36" s="3" t="inlineStr">
        <is>
          <t>Серые, синяя полоска</t>
        </is>
      </c>
      <c r="F36" s="4" t="n">
        <v>5</v>
      </c>
      <c r="G36" s="3" t="inlineStr">
        <is>
          <t>Мужские носки</t>
        </is>
      </c>
      <c r="H36" s="3" t="n">
        <v>220</v>
      </c>
    </row>
    <row r="37" ht="64" customHeight="1">
      <c r="A37" s="2" t="inlineStr">
        <is>
          <t>men-socks-short-stripes-40-45-black</t>
        </is>
      </c>
      <c r="B37" s="3">
        <f>IMAGE("https://nosinoski.ru/products/men-socks-short-stripes/1792100000060.jpg")</f>
        <v/>
      </c>
      <c r="C37" s="3" t="inlineStr">
        <is>
          <t>Мужские короткие носки «Полоски»</t>
        </is>
      </c>
      <c r="D37" s="3" t="inlineStr">
        <is>
          <t>40-45</t>
        </is>
      </c>
      <c r="E37" s="3" t="inlineStr">
        <is>
          <t>Чёрные, белые полоски</t>
        </is>
      </c>
      <c r="F37" s="4" t="n">
        <v>5</v>
      </c>
      <c r="G37" s="3" t="inlineStr">
        <is>
          <t>Мужские носки</t>
        </is>
      </c>
      <c r="H37" s="3" t="n">
        <v>220</v>
      </c>
    </row>
    <row r="38" ht="64" customHeight="1">
      <c r="A38" s="2" t="inlineStr">
        <is>
          <t>men-socks-smile-40-45-white</t>
        </is>
      </c>
      <c r="B38" s="3">
        <f>IMAGE("https://nosinoski.ru/products/men-socks-smile/1792100000031.jpg")</f>
        <v/>
      </c>
      <c r="C38" s="3" t="inlineStr">
        <is>
          <t>Мужские носки «Smile!»</t>
        </is>
      </c>
      <c r="D38" s="3" t="inlineStr">
        <is>
          <t>40-45</t>
        </is>
      </c>
      <c r="E38" s="3" t="inlineStr">
        <is>
          <t>Белые</t>
        </is>
      </c>
      <c r="F38" s="4" t="n">
        <v>5</v>
      </c>
      <c r="G38" s="3" t="inlineStr">
        <is>
          <t>Мужские носки</t>
        </is>
      </c>
      <c r="H38" s="3" t="n">
        <v>220</v>
      </c>
    </row>
    <row r="39" ht="64" customHeight="1">
      <c r="A39" s="2" t="inlineStr">
        <is>
          <t>men-socks-smile-40-45-grey</t>
        </is>
      </c>
      <c r="B39" s="3">
        <f>IMAGE("https://nosinoski.ru/products/men-socks-smile/1792100000031.jpg")</f>
        <v/>
      </c>
      <c r="C39" s="3" t="inlineStr">
        <is>
          <t>Мужские носки «Smile!»</t>
        </is>
      </c>
      <c r="D39" s="3" t="inlineStr">
        <is>
          <t>40-45</t>
        </is>
      </c>
      <c r="E39" s="3" t="inlineStr">
        <is>
          <t>Серые</t>
        </is>
      </c>
      <c r="F39" s="4" t="n">
        <v>5</v>
      </c>
      <c r="G39" s="3" t="inlineStr">
        <is>
          <t>Мужские носки</t>
        </is>
      </c>
      <c r="H39" s="3" t="n">
        <v>220</v>
      </c>
    </row>
    <row r="40" ht="64" customHeight="1">
      <c r="A40" s="2" t="inlineStr">
        <is>
          <t>men-socks-smile-40-45-black</t>
        </is>
      </c>
      <c r="B40" s="3">
        <f>IMAGE("https://nosinoski.ru/products/men-socks-smile/1792100000031.jpg")</f>
        <v/>
      </c>
      <c r="C40" s="3" t="inlineStr">
        <is>
          <t>Мужские носки «Smile!»</t>
        </is>
      </c>
      <c r="D40" s="3" t="inlineStr">
        <is>
          <t>40-45</t>
        </is>
      </c>
      <c r="E40" s="3" t="inlineStr">
        <is>
          <t>Чёрные</t>
        </is>
      </c>
      <c r="F40" s="4" t="n">
        <v>5</v>
      </c>
      <c r="G40" s="3" t="inlineStr">
        <is>
          <t>Мужские носки</t>
        </is>
      </c>
      <c r="H40" s="3" t="n">
        <v>220</v>
      </c>
    </row>
    <row r="41" ht="64" customHeight="1">
      <c r="A41" s="2" t="inlineStr">
        <is>
          <t>men-socks-updown-40-45-grey</t>
        </is>
      </c>
      <c r="B41" s="3">
        <f>IMAGE("https://nosinoski.ru/products/men-socks-updown/1792100000058.jpg")</f>
        <v/>
      </c>
      <c r="C41" s="3" t="inlineStr">
        <is>
          <t>Мужские носки «Up down»</t>
        </is>
      </c>
      <c r="D41" s="3" t="inlineStr">
        <is>
          <t>40-45</t>
        </is>
      </c>
      <c r="E41" s="3" t="inlineStr">
        <is>
          <t>Серые</t>
        </is>
      </c>
      <c r="F41" s="4" t="n">
        <v>5</v>
      </c>
      <c r="G41" s="3" t="inlineStr">
        <is>
          <t>Мужские носки</t>
        </is>
      </c>
      <c r="H41" s="3" t="n">
        <v>220</v>
      </c>
    </row>
    <row r="42" ht="64" customHeight="1">
      <c r="A42" s="2" t="inlineStr">
        <is>
          <t>men-socks-polo-wave-40-45-green</t>
        </is>
      </c>
      <c r="B42" s="3">
        <f>IMAGE("https://nosinoski.ru/products/men-socks-polo-wave/1792100000046.jpg")</f>
        <v/>
      </c>
      <c r="C42" s="3" t="inlineStr">
        <is>
          <t>Мужские носки «Волна»</t>
        </is>
      </c>
      <c r="D42" s="3" t="inlineStr">
        <is>
          <t>40-45</t>
        </is>
      </c>
      <c r="E42" s="3" t="inlineStr">
        <is>
          <t>Зелёные полосы</t>
        </is>
      </c>
      <c r="F42" s="4" t="n">
        <v>5</v>
      </c>
      <c r="G42" s="3" t="inlineStr">
        <is>
          <t>Мужские носки</t>
        </is>
      </c>
      <c r="H42" s="3" t="n">
        <v>220</v>
      </c>
    </row>
    <row r="43" ht="64" customHeight="1">
      <c r="A43" s="2" t="inlineStr">
        <is>
          <t>men-socks-polo-wave-40-45-blue</t>
        </is>
      </c>
      <c r="B43" s="3">
        <f>IMAGE("https://nosinoski.ru/products/men-socks-polo-wave/1792100000046.jpg")</f>
        <v/>
      </c>
      <c r="C43" s="3" t="inlineStr">
        <is>
          <t>Мужские носки «Волна»</t>
        </is>
      </c>
      <c r="D43" s="3" t="inlineStr">
        <is>
          <t>40-45</t>
        </is>
      </c>
      <c r="E43" s="3" t="inlineStr">
        <is>
          <t>Синяя волна</t>
        </is>
      </c>
      <c r="F43" s="4" t="n">
        <v>5</v>
      </c>
      <c r="G43" s="3" t="inlineStr">
        <is>
          <t>Мужские носки</t>
        </is>
      </c>
      <c r="H43" s="3" t="n">
        <v>220</v>
      </c>
    </row>
    <row r="44" ht="64" customHeight="1">
      <c r="A44" s="2" t="inlineStr">
        <is>
          <t>men-socks-polo-wave-40-45-black</t>
        </is>
      </c>
      <c r="B44" s="3">
        <f>IMAGE("https://nosinoski.ru/products/men-socks-polo-wave/1792100000046.jpg")</f>
        <v/>
      </c>
      <c r="C44" s="3" t="inlineStr">
        <is>
          <t>Мужские носки «Волна»</t>
        </is>
      </c>
      <c r="D44" s="3" t="inlineStr">
        <is>
          <t>40-45</t>
        </is>
      </c>
      <c r="E44" s="3" t="inlineStr">
        <is>
          <t>Чёрная волна</t>
        </is>
      </c>
      <c r="F44" s="4" t="n">
        <v>5</v>
      </c>
      <c r="G44" s="3" t="inlineStr">
        <is>
          <t>Мужские носки</t>
        </is>
      </c>
      <c r="H44" s="3" t="n">
        <v>220</v>
      </c>
    </row>
    <row r="45" ht="64" customHeight="1">
      <c r="A45" s="2" t="inlineStr">
        <is>
          <t>men-socks-rider-40-45-lines</t>
        </is>
      </c>
      <c r="B45" s="3">
        <f>IMAGE("https://nosinoski.ru/products/men-socks-rider/1792100000049.jpg")</f>
        <v/>
      </c>
      <c r="C45" s="3" t="inlineStr">
        <is>
          <t>Мужские носки «Всадник»</t>
        </is>
      </c>
      <c r="D45" s="3" t="inlineStr">
        <is>
          <t>40-45</t>
        </is>
      </c>
      <c r="E45" s="3" t="inlineStr">
        <is>
          <t>Светло-серые, дуги на стопе</t>
        </is>
      </c>
      <c r="F45" s="4" t="n">
        <v>5</v>
      </c>
      <c r="G45" s="3" t="inlineStr">
        <is>
          <t>Мужские носки</t>
        </is>
      </c>
      <c r="H45" s="3" t="n">
        <v>220</v>
      </c>
    </row>
    <row r="46" ht="64" customHeight="1">
      <c r="A46" s="2" t="inlineStr">
        <is>
          <t>men-socks-rider-40-45-stripe</t>
        </is>
      </c>
      <c r="B46" s="3">
        <f>IMAGE("https://nosinoski.ru/products/men-socks-rider/1792100000049.jpg")</f>
        <v/>
      </c>
      <c r="C46" s="3" t="inlineStr">
        <is>
          <t>Мужские носки «Всадник»</t>
        </is>
      </c>
      <c r="D46" s="3" t="inlineStr">
        <is>
          <t>40-45</t>
        </is>
      </c>
      <c r="E46" s="3" t="inlineStr">
        <is>
          <t>Светло-серые, полоска на стопе</t>
        </is>
      </c>
      <c r="F46" s="4" t="n">
        <v>5</v>
      </c>
      <c r="G46" s="3" t="inlineStr">
        <is>
          <t>Мужские носки</t>
        </is>
      </c>
      <c r="H46" s="3" t="n">
        <v>220</v>
      </c>
    </row>
    <row r="47" ht="64" customHeight="1">
      <c r="A47" s="2" t="inlineStr">
        <is>
          <t>men-socks-rider-40-45-dark</t>
        </is>
      </c>
      <c r="B47" s="3">
        <f>IMAGE("https://nosinoski.ru/products/men-socks-rider/1792100000049.jpg")</f>
        <v/>
      </c>
      <c r="C47" s="3" t="inlineStr">
        <is>
          <t>Мужские носки «Всадник»</t>
        </is>
      </c>
      <c r="D47" s="3" t="inlineStr">
        <is>
          <t>40-45</t>
        </is>
      </c>
      <c r="E47" s="3" t="inlineStr">
        <is>
          <t>Тёмно-серые</t>
        </is>
      </c>
      <c r="F47" s="4" t="n">
        <v>5</v>
      </c>
      <c r="G47" s="3" t="inlineStr">
        <is>
          <t>Мужские носки</t>
        </is>
      </c>
      <c r="H47" s="3" t="n">
        <v>220</v>
      </c>
    </row>
    <row r="48" ht="64" customHeight="1">
      <c r="A48" s="2" t="inlineStr">
        <is>
          <t>men-socks-argyle-40-45-beige</t>
        </is>
      </c>
      <c r="B48" s="3">
        <f>IMAGE("https://nosinoski.ru/products/men-socks-argyle/1791995509532.jpg")</f>
        <v/>
      </c>
      <c r="C48" s="3" t="inlineStr">
        <is>
          <t>Мужские носки «Ромб», Корея</t>
        </is>
      </c>
      <c r="D48" s="3" t="inlineStr">
        <is>
          <t>40-45</t>
        </is>
      </c>
      <c r="E48" s="3" t="inlineStr">
        <is>
          <t>Серый с бежевым ромбом</t>
        </is>
      </c>
      <c r="F48" s="4" t="n">
        <v>5</v>
      </c>
      <c r="G48" s="3" t="inlineStr">
        <is>
          <t>Мужские носки</t>
        </is>
      </c>
      <c r="H48" s="3" t="n">
        <v>220</v>
      </c>
    </row>
    <row r="49" ht="64" customHeight="1">
      <c r="A49" s="2" t="inlineStr">
        <is>
          <t>men-socks-argyle-40-45-blue</t>
        </is>
      </c>
      <c r="B49" s="3">
        <f>IMAGE("https://nosinoski.ru/products/men-socks-argyle/1791995509532.jpg")</f>
        <v/>
      </c>
      <c r="C49" s="3" t="inlineStr">
        <is>
          <t>Мужские носки «Ромб», Корея</t>
        </is>
      </c>
      <c r="D49" s="3" t="inlineStr">
        <is>
          <t>40-45</t>
        </is>
      </c>
      <c r="E49" s="3" t="inlineStr">
        <is>
          <t>Серый с синим ромбом</t>
        </is>
      </c>
      <c r="F49" s="4" t="n">
        <v>5</v>
      </c>
      <c r="G49" s="3" t="inlineStr">
        <is>
          <t>Мужские носки</t>
        </is>
      </c>
      <c r="H49" s="3" t="n">
        <v>220</v>
      </c>
    </row>
    <row r="50" ht="64" customHeight="1">
      <c r="A50" s="2" t="inlineStr">
        <is>
          <t>men-socks-diamonds-40-45-grey</t>
        </is>
      </c>
      <c r="B50" s="3">
        <f>IMAGE("https://nosinoski.ru/products/men-socks-diamonds/1792100000052.jpg")</f>
        <v/>
      </c>
      <c r="C50" s="3" t="inlineStr">
        <is>
          <t>Мужские носки «Ромбики»</t>
        </is>
      </c>
      <c r="D50" s="3" t="inlineStr">
        <is>
          <t>40-45</t>
        </is>
      </c>
      <c r="E50" s="3" t="inlineStr">
        <is>
          <t>Серые</t>
        </is>
      </c>
      <c r="F50" s="4" t="n">
        <v>5</v>
      </c>
      <c r="G50" s="3" t="inlineStr">
        <is>
          <t>Мужские носки</t>
        </is>
      </c>
      <c r="H50" s="3" t="n">
        <v>220</v>
      </c>
    </row>
    <row r="51" ht="64" customHeight="1">
      <c r="A51" s="2" t="inlineStr">
        <is>
          <t>men-socks-tricolor-40-45-stripe</t>
        </is>
      </c>
      <c r="B51" s="3">
        <f>IMAGE("https://nosinoski.ru/products/men-socks-tricolor/1792100000054.jpg")</f>
        <v/>
      </c>
      <c r="C51" s="3" t="inlineStr">
        <is>
          <t>Мужские носки «Триколор»</t>
        </is>
      </c>
      <c r="D51" s="3" t="inlineStr">
        <is>
          <t>40-45</t>
        </is>
      </c>
      <c r="E51" s="3" t="inlineStr">
        <is>
          <t>Серые, полоса сбоку</t>
        </is>
      </c>
      <c r="F51" s="4" t="n">
        <v>5</v>
      </c>
      <c r="G51" s="3" t="inlineStr">
        <is>
          <t>Мужские носки</t>
        </is>
      </c>
      <c r="H51" s="3" t="n">
        <v>220</v>
      </c>
    </row>
    <row r="52" ht="64" customHeight="1">
      <c r="A52" s="2" t="inlineStr">
        <is>
          <t>men-socks-tricolor-40-45-grey</t>
        </is>
      </c>
      <c r="B52" s="3">
        <f>IMAGE("https://nosinoski.ru/products/men-socks-tricolor/1792100000054.jpg")</f>
        <v/>
      </c>
      <c r="C52" s="3" t="inlineStr">
        <is>
          <t>Мужские носки «Триколор»</t>
        </is>
      </c>
      <c r="D52" s="3" t="inlineStr">
        <is>
          <t>40-45</t>
        </is>
      </c>
      <c r="E52" s="3" t="inlineStr">
        <is>
          <t>Серые, полоски-нашивки</t>
        </is>
      </c>
      <c r="F52" s="4" t="n">
        <v>5</v>
      </c>
      <c r="G52" s="3" t="inlineStr">
        <is>
          <t>Мужские носки</t>
        </is>
      </c>
      <c r="H52" s="3" t="n">
        <v>220</v>
      </c>
    </row>
    <row r="53" ht="64" customHeight="1">
      <c r="A53" s="2" t="inlineStr">
        <is>
          <t>men-socks-tricolor-40-45-flag</t>
        </is>
      </c>
      <c r="B53" s="3">
        <f>IMAGE("https://nosinoski.ru/products/men-socks-tricolor/1792100000054.jpg")</f>
        <v/>
      </c>
      <c r="C53" s="3" t="inlineStr">
        <is>
          <t>Мужские носки «Триколор»</t>
        </is>
      </c>
      <c r="D53" s="3" t="inlineStr">
        <is>
          <t>40-45</t>
        </is>
      </c>
      <c r="E53" s="3" t="inlineStr">
        <is>
          <t>Серые, флажок</t>
        </is>
      </c>
      <c r="F53" s="4" t="n">
        <v>5</v>
      </c>
      <c r="G53" s="3" t="inlineStr">
        <is>
          <t>Мужские носки</t>
        </is>
      </c>
      <c r="H53" s="3" t="n">
        <v>220</v>
      </c>
    </row>
    <row r="54" ht="64" customHeight="1">
      <c r="A54" s="2" t="inlineStr">
        <is>
          <t>men-socks-tricolor-40-45-navy</t>
        </is>
      </c>
      <c r="B54" s="3">
        <f>IMAGE("https://nosinoski.ru/products/men-socks-tricolor/1792100000054.jpg")</f>
        <v/>
      </c>
      <c r="C54" s="3" t="inlineStr">
        <is>
          <t>Мужские носки «Триколор»</t>
        </is>
      </c>
      <c r="D54" s="3" t="inlineStr">
        <is>
          <t>40-45</t>
        </is>
      </c>
      <c r="E54" s="3" t="inlineStr">
        <is>
          <t>Тёмно-синие, полоски-нашивки</t>
        </is>
      </c>
      <c r="F54" s="4" t="n">
        <v>5</v>
      </c>
      <c r="G54" s="3" t="inlineStr">
        <is>
          <t>Мужские носки</t>
        </is>
      </c>
      <c r="H54" s="3" t="n">
        <v>220</v>
      </c>
    </row>
    <row r="55" ht="64" customHeight="1">
      <c r="A55" s="2" t="inlineStr">
        <is>
          <t>socks-france-free-white</t>
        </is>
      </c>
      <c r="B55" s="3">
        <f>IMAGE("https://nosinoski.ru/products/socks-france/1792100000040.jpg")</f>
        <v/>
      </c>
      <c r="C55" s="3" t="inlineStr">
        <is>
          <t>Носки «France»</t>
        </is>
      </c>
      <c r="D55" s="3" t="inlineStr">
        <is>
          <t>36-42</t>
        </is>
      </c>
      <c r="E55" s="3" t="inlineStr">
        <is>
          <t>Серо-белые</t>
        </is>
      </c>
      <c r="F55" s="4" t="n">
        <v>5</v>
      </c>
      <c r="G55" s="3" t="inlineStr">
        <is>
          <t>Мужские носки</t>
        </is>
      </c>
      <c r="H55" s="3" t="n">
        <v>220</v>
      </c>
    </row>
    <row r="56" ht="64" customHeight="1">
      <c r="A56" s="2" t="inlineStr">
        <is>
          <t>socks-france-free-black</t>
        </is>
      </c>
      <c r="B56" s="3">
        <f>IMAGE("https://nosinoski.ru/products/socks-france/1792100000040.jpg")</f>
        <v/>
      </c>
      <c r="C56" s="3" t="inlineStr">
        <is>
          <t>Носки «France»</t>
        </is>
      </c>
      <c r="D56" s="3" t="inlineStr">
        <is>
          <t>36-42</t>
        </is>
      </c>
      <c r="E56" s="3" t="inlineStr">
        <is>
          <t>Чёрно-серые</t>
        </is>
      </c>
      <c r="F56" s="4" t="n">
        <v>5</v>
      </c>
      <c r="G56" s="3" t="inlineStr">
        <is>
          <t>Мужские носки</t>
        </is>
      </c>
      <c r="H56" s="3" t="n">
        <v>220</v>
      </c>
    </row>
    <row r="57" ht="64" customHeight="1">
      <c r="A57" s="2" t="inlineStr">
        <is>
          <t>socks-look-at-this-free-look</t>
        </is>
      </c>
      <c r="B57" s="3">
        <f>IMAGE("https://nosinoski.ru/products/socks-look-at-this/1792100000037.jpg")</f>
        <v/>
      </c>
      <c r="C57" s="3" t="inlineStr">
        <is>
          <t>Носки «Look at this»</t>
        </is>
      </c>
      <c r="D57" s="3" t="inlineStr">
        <is>
          <t>36-42</t>
        </is>
      </c>
      <c r="E57" s="3" t="inlineStr">
        <is>
          <t>LOOK AT THIS (синяя полоса)</t>
        </is>
      </c>
      <c r="F57" s="4" t="n">
        <v>5</v>
      </c>
      <c r="G57" s="3" t="inlineStr">
        <is>
          <t>Мужские носки</t>
        </is>
      </c>
      <c r="H57" s="3" t="n">
        <v>220</v>
      </c>
    </row>
    <row r="58" ht="64" customHeight="1">
      <c r="A58" s="2" t="inlineStr">
        <is>
          <t>socks-look-at-this-free-time</t>
        </is>
      </c>
      <c r="B58" s="3">
        <f>IMAGE("https://nosinoski.ru/products/socks-look-at-this/1792100000037.jpg")</f>
        <v/>
      </c>
      <c r="C58" s="3" t="inlineStr">
        <is>
          <t>Носки «Look at this»</t>
        </is>
      </c>
      <c r="D58" s="3" t="inlineStr">
        <is>
          <t>36-42</t>
        </is>
      </c>
      <c r="E58" s="3" t="inlineStr">
        <is>
          <t>Time heals all wounds (чёрные полосы)</t>
        </is>
      </c>
      <c r="F58" s="4" t="n">
        <v>5</v>
      </c>
      <c r="G58" s="3" t="inlineStr">
        <is>
          <t>Мужские носки</t>
        </is>
      </c>
      <c r="H58" s="3" t="n">
        <v>220</v>
      </c>
    </row>
    <row r="59" ht="64" customHeight="1">
      <c r="A59" s="2" t="inlineStr">
        <is>
          <t>socks-painting-free-grey</t>
        </is>
      </c>
      <c r="B59" s="3">
        <f>IMAGE("https://nosinoski.ru/products/socks-painting/1792100000043.jpg")</f>
        <v/>
      </c>
      <c r="C59" s="3" t="inlineStr">
        <is>
          <t>Носки «Painting» с брызгами краски</t>
        </is>
      </c>
      <c r="D59" s="3" t="inlineStr">
        <is>
          <t>36-42</t>
        </is>
      </c>
      <c r="E59" s="3" t="inlineStr">
        <is>
          <t>Серые</t>
        </is>
      </c>
      <c r="F59" s="4" t="n">
        <v>5</v>
      </c>
      <c r="G59" s="3" t="inlineStr">
        <is>
          <t>Мужские носки</t>
        </is>
      </c>
      <c r="H59" s="3" t="n">
        <v>220</v>
      </c>
    </row>
    <row r="60" ht="64" customHeight="1">
      <c r="A60" s="2" t="inlineStr">
        <is>
          <t>socks-painting-free-black</t>
        </is>
      </c>
      <c r="B60" s="3">
        <f>IMAGE("https://nosinoski.ru/products/socks-painting/1792100000043.jpg")</f>
        <v/>
      </c>
      <c r="C60" s="3" t="inlineStr">
        <is>
          <t>Носки «Painting» с брызгами краски</t>
        </is>
      </c>
      <c r="D60" s="3" t="inlineStr">
        <is>
          <t>36-42</t>
        </is>
      </c>
      <c r="E60" s="3" t="inlineStr">
        <is>
          <t>Чёрные</t>
        </is>
      </c>
      <c r="F60" s="4" t="n">
        <v>5</v>
      </c>
      <c r="G60" s="3" t="inlineStr">
        <is>
          <t>Мужские носки</t>
        </is>
      </c>
      <c r="H60" s="3" t="n">
        <v>220</v>
      </c>
    </row>
    <row r="61" ht="64" customHeight="1">
      <c r="A61" s="2" t="inlineStr">
        <is>
          <t>socks-studios-free-cream</t>
        </is>
      </c>
      <c r="B61" s="3">
        <f>IMAGE("https://nosinoski.ru/products/socks-studios/1792100000034.jpg")</f>
        <v/>
      </c>
      <c r="C61" s="3" t="inlineStr">
        <is>
          <t>Носки «Studios»</t>
        </is>
      </c>
      <c r="D61" s="3" t="inlineStr">
        <is>
          <t>36-42</t>
        </is>
      </c>
      <c r="E61" s="3" t="inlineStr">
        <is>
          <t>Молочные, синий</t>
        </is>
      </c>
      <c r="F61" s="4" t="n">
        <v>5</v>
      </c>
      <c r="G61" s="3" t="inlineStr">
        <is>
          <t>Мужские носки</t>
        </is>
      </c>
      <c r="H61" s="3" t="n">
        <v>220</v>
      </c>
    </row>
    <row r="62" ht="64" customHeight="1">
      <c r="A62" s="2" t="inlineStr">
        <is>
          <t>socks-studios-free-grey</t>
        </is>
      </c>
      <c r="B62" s="3">
        <f>IMAGE("https://nosinoski.ru/products/socks-studios/1792100000034.jpg")</f>
        <v/>
      </c>
      <c r="C62" s="3" t="inlineStr">
        <is>
          <t>Носки «Studios»</t>
        </is>
      </c>
      <c r="D62" s="3" t="inlineStr">
        <is>
          <t>36-42</t>
        </is>
      </c>
      <c r="E62" s="3" t="inlineStr">
        <is>
          <t>Серые</t>
        </is>
      </c>
      <c r="F62" s="4" t="n">
        <v>5</v>
      </c>
      <c r="G62" s="3" t="inlineStr">
        <is>
          <t>Мужские носки</t>
        </is>
      </c>
      <c r="H62" s="3" t="n">
        <v>220</v>
      </c>
    </row>
    <row r="63" ht="64" customHeight="1">
      <c r="A63" s="2" t="inlineStr">
        <is>
          <t>socks-studios-free-black</t>
        </is>
      </c>
      <c r="B63" s="3">
        <f>IMAGE("https://nosinoski.ru/products/socks-studios/1792100000034.jpg")</f>
        <v/>
      </c>
      <c r="C63" s="3" t="inlineStr">
        <is>
          <t>Носки «Studios»</t>
        </is>
      </c>
      <c r="D63" s="3" t="inlineStr">
        <is>
          <t>36-42</t>
        </is>
      </c>
      <c r="E63" s="3" t="inlineStr">
        <is>
          <t>Чёрные, хаки</t>
        </is>
      </c>
      <c r="F63" s="4" t="n">
        <v>5</v>
      </c>
      <c r="G63" s="3" t="inlineStr">
        <is>
          <t>Мужские носки</t>
        </is>
      </c>
      <c r="H63" s="3" t="n">
        <v>220</v>
      </c>
    </row>
    <row r="64" ht="64" customHeight="1">
      <c r="A64" s="2" t="inlineStr">
        <is>
          <t>socks-ny-crew-free-grey</t>
        </is>
      </c>
      <c r="B64" s="3">
        <f>IMAGE("https://nosinoski.ru/products/socks-ny-crew/1792100000023.jpg")</f>
        <v/>
      </c>
      <c r="C64" s="3" t="inlineStr">
        <is>
          <t>Носки «Нью-Йорк», высокие</t>
        </is>
      </c>
      <c r="D64" s="3" t="inlineStr">
        <is>
          <t>36-42</t>
        </is>
      </c>
      <c r="E64" s="3" t="inlineStr">
        <is>
          <t>Серые, белый NY</t>
        </is>
      </c>
      <c r="F64" s="4" t="n">
        <v>5</v>
      </c>
      <c r="G64" s="3" t="inlineStr">
        <is>
          <t>Мужские носки</t>
        </is>
      </c>
      <c r="H64" s="3" t="n">
        <v>250</v>
      </c>
    </row>
    <row r="65" ht="64" customHeight="1">
      <c r="A65" s="2" t="inlineStr">
        <is>
          <t>socks-ny-crew-free-navyred</t>
        </is>
      </c>
      <c r="B65" s="3">
        <f>IMAGE("https://nosinoski.ru/products/socks-ny-crew/1792100000023.jpg")</f>
        <v/>
      </c>
      <c r="C65" s="3" t="inlineStr">
        <is>
          <t>Носки «Нью-Йорк», высокие</t>
        </is>
      </c>
      <c r="D65" s="3" t="inlineStr">
        <is>
          <t>36-42</t>
        </is>
      </c>
      <c r="E65" s="3" t="inlineStr">
        <is>
          <t>Тёмно-синие, красный NY</t>
        </is>
      </c>
      <c r="F65" s="4" t="n">
        <v>5</v>
      </c>
      <c r="G65" s="3" t="inlineStr">
        <is>
          <t>Мужские носки</t>
        </is>
      </c>
      <c r="H65" s="3" t="n">
        <v>250</v>
      </c>
    </row>
    <row r="66" ht="64" customHeight="1">
      <c r="A66" s="2" t="inlineStr">
        <is>
          <t>socks-ny-crew-free-blackyellow</t>
        </is>
      </c>
      <c r="B66" s="3">
        <f>IMAGE("https://nosinoski.ru/products/socks-ny-crew/1792100000023.jpg")</f>
        <v/>
      </c>
      <c r="C66" s="3" t="inlineStr">
        <is>
          <t>Носки «Нью-Йорк», высокие</t>
        </is>
      </c>
      <c r="D66" s="3" t="inlineStr">
        <is>
          <t>36-42</t>
        </is>
      </c>
      <c r="E66" s="3" t="inlineStr">
        <is>
          <t>Чёрные, жёлтый NY</t>
        </is>
      </c>
      <c r="F66" s="4" t="n">
        <v>5</v>
      </c>
      <c r="G66" s="3" t="inlineStr">
        <is>
          <t>Мужские носки</t>
        </is>
      </c>
      <c r="H66" s="3" t="n">
        <v>250</v>
      </c>
    </row>
    <row r="67" ht="64" customHeight="1">
      <c r="A67" s="2" t="inlineStr">
        <is>
          <t>socks-ny-crew-free-blackred</t>
        </is>
      </c>
      <c r="B67" s="3">
        <f>IMAGE("https://nosinoski.ru/products/socks-ny-crew/1792100000023.jpg")</f>
        <v/>
      </c>
      <c r="C67" s="3" t="inlineStr">
        <is>
          <t>Носки «Нью-Йорк», высокие</t>
        </is>
      </c>
      <c r="D67" s="3" t="inlineStr">
        <is>
          <t>36-42</t>
        </is>
      </c>
      <c r="E67" s="3" t="inlineStr">
        <is>
          <t>Чёрные, красный NY</t>
        </is>
      </c>
      <c r="F67" s="4" t="n">
        <v>5</v>
      </c>
      <c r="G67" s="3" t="inlineStr">
        <is>
          <t>Мужские носки</t>
        </is>
      </c>
      <c r="H67" s="3" t="n">
        <v>250</v>
      </c>
    </row>
    <row r="68" ht="64" customHeight="1">
      <c r="A68" s="2" t="inlineStr">
        <is>
          <t>socks-ny-short-free-white</t>
        </is>
      </c>
      <c r="B68" s="3">
        <f>IMAGE("https://nosinoski.ru/products/socks-ny-short/1792100000027.jpg")</f>
        <v/>
      </c>
      <c r="C68" s="3" t="inlineStr">
        <is>
          <t>Носки «Нью-Йорк», короткие</t>
        </is>
      </c>
      <c r="D68" s="3" t="inlineStr">
        <is>
          <t>36-42</t>
        </is>
      </c>
      <c r="E68" s="3" t="inlineStr">
        <is>
          <t>Белые, чёрный NY</t>
        </is>
      </c>
      <c r="F68" s="4" t="n">
        <v>5</v>
      </c>
      <c r="G68" s="3" t="inlineStr">
        <is>
          <t>Мужские носки</t>
        </is>
      </c>
      <c r="H68" s="3" t="n">
        <v>250</v>
      </c>
    </row>
    <row r="69" ht="64" customHeight="1">
      <c r="A69" s="2" t="inlineStr">
        <is>
          <t>socks-ny-short-free-navyred</t>
        </is>
      </c>
      <c r="B69" s="3">
        <f>IMAGE("https://nosinoski.ru/products/socks-ny-short/1792100000027.jpg")</f>
        <v/>
      </c>
      <c r="C69" s="3" t="inlineStr">
        <is>
          <t>Носки «Нью-Йорк», короткие</t>
        </is>
      </c>
      <c r="D69" s="3" t="inlineStr">
        <is>
          <t>36-42</t>
        </is>
      </c>
      <c r="E69" s="3" t="inlineStr">
        <is>
          <t>Тёмно-синие, красный NY</t>
        </is>
      </c>
      <c r="F69" s="4" t="n">
        <v>5</v>
      </c>
      <c r="G69" s="3" t="inlineStr">
        <is>
          <t>Мужские носки</t>
        </is>
      </c>
      <c r="H69" s="3" t="n">
        <v>250</v>
      </c>
    </row>
    <row r="70" ht="64" customHeight="1">
      <c r="A70" s="2" t="inlineStr">
        <is>
          <t>socks-ny-short-free-blackyellow</t>
        </is>
      </c>
      <c r="B70" s="3">
        <f>IMAGE("https://nosinoski.ru/products/socks-ny-short/1792100000027.jpg")</f>
        <v/>
      </c>
      <c r="C70" s="3" t="inlineStr">
        <is>
          <t>Носки «Нью-Йорк», короткие</t>
        </is>
      </c>
      <c r="D70" s="3" t="inlineStr">
        <is>
          <t>36-42</t>
        </is>
      </c>
      <c r="E70" s="3" t="inlineStr">
        <is>
          <t>Чёрные, жёлтый NY</t>
        </is>
      </c>
      <c r="F70" s="4" t="n">
        <v>5</v>
      </c>
      <c r="G70" s="3" t="inlineStr">
        <is>
          <t>Мужские носки</t>
        </is>
      </c>
      <c r="H70" s="3" t="n">
        <v>250</v>
      </c>
    </row>
    <row r="71" ht="64" customHeight="1">
      <c r="A71" s="2" t="inlineStr">
        <is>
          <t>kids-socks-kitty-kids-beige</t>
        </is>
      </c>
      <c r="B71" s="3">
        <f>IMAGE("https://nosinoski.ru/products/kids-socks-kitty/1792100000001.jpg")</f>
        <v/>
      </c>
      <c r="C71" s="3" t="inlineStr">
        <is>
          <t>Детские носки «Котик»</t>
        </is>
      </c>
      <c r="D71" s="3" t="inlineStr">
        <is>
          <t>Детский</t>
        </is>
      </c>
      <c r="E71" s="3" t="inlineStr">
        <is>
          <t>Бежевый, розовый котик</t>
        </is>
      </c>
      <c r="F71" s="4" t="n">
        <v>5</v>
      </c>
      <c r="G71" s="3" t="inlineStr">
        <is>
          <t>Детские носки</t>
        </is>
      </c>
      <c r="H71" s="3" t="n">
        <v>230</v>
      </c>
    </row>
    <row r="72" ht="64" customHeight="1">
      <c r="A72" s="2" t="inlineStr">
        <is>
          <t>kids-socks-kitty-kids-coral</t>
        </is>
      </c>
      <c r="B72" s="3">
        <f>IMAGE("https://nosinoski.ru/products/kids-socks-kitty/1792100000001.jpg")</f>
        <v/>
      </c>
      <c r="C72" s="3" t="inlineStr">
        <is>
          <t>Детские носки «Котик»</t>
        </is>
      </c>
      <c r="D72" s="3" t="inlineStr">
        <is>
          <t>Детский</t>
        </is>
      </c>
      <c r="E72" s="3" t="inlineStr">
        <is>
          <t>Коралловый, жёлтый котик</t>
        </is>
      </c>
      <c r="F72" s="4" t="n">
        <v>5</v>
      </c>
      <c r="G72" s="3" t="inlineStr">
        <is>
          <t>Детские носки</t>
        </is>
      </c>
      <c r="H72" s="3" t="n">
        <v>230</v>
      </c>
    </row>
    <row r="73" ht="64" customHeight="1">
      <c r="A73" s="2" t="inlineStr">
        <is>
          <t>kids-socks-kitty-kids-lilac</t>
        </is>
      </c>
      <c r="B73" s="3">
        <f>IMAGE("https://nosinoski.ru/products/kids-socks-kitty/1792100000001.jpg")</f>
        <v/>
      </c>
      <c r="C73" s="3" t="inlineStr">
        <is>
          <t>Детские носки «Котик»</t>
        </is>
      </c>
      <c r="D73" s="3" t="inlineStr">
        <is>
          <t>Детский</t>
        </is>
      </c>
      <c r="E73" s="3" t="inlineStr">
        <is>
          <t>Сиреневая полоска, розовый котик</t>
        </is>
      </c>
      <c r="F73" s="4" t="n">
        <v>5</v>
      </c>
      <c r="G73" s="3" t="inlineStr">
        <is>
          <t>Детские носки</t>
        </is>
      </c>
      <c r="H73" s="3" t="n">
        <v>230</v>
      </c>
    </row>
    <row r="74" ht="64" customHeight="1">
      <c r="A74" s="2" t="inlineStr">
        <is>
          <t>kids-socks-halloween-kids-yellow</t>
        </is>
      </c>
      <c r="B74" s="3">
        <f>IMAGE("https://nosinoski.ru/products/kids-socks-halloween/1792100000008.jpg")</f>
        <v/>
      </c>
      <c r="C74" s="3" t="inlineStr">
        <is>
          <t>Детские носки «Хэллоуин»</t>
        </is>
      </c>
      <c r="D74" s="3" t="inlineStr">
        <is>
          <t>Детский</t>
        </is>
      </c>
      <c r="E74" s="3" t="inlineStr">
        <is>
          <t>Жёлтые «halloween»</t>
        </is>
      </c>
      <c r="F74" s="4" t="n">
        <v>5</v>
      </c>
      <c r="G74" s="3" t="inlineStr">
        <is>
          <t>Детские носки</t>
        </is>
      </c>
      <c r="H74" s="3" t="n">
        <v>230</v>
      </c>
    </row>
    <row r="75" ht="64" customHeight="1">
      <c r="A75" s="2" t="inlineStr">
        <is>
          <t>kids-socks-halloween-kids-witch</t>
        </is>
      </c>
      <c r="B75" s="3">
        <f>IMAGE("https://nosinoski.ru/products/kids-socks-halloween/1792100000008.jpg")</f>
        <v/>
      </c>
      <c r="C75" s="3" t="inlineStr">
        <is>
          <t>Детские носки «Хэллоуин»</t>
        </is>
      </c>
      <c r="D75" s="3" t="inlineStr">
        <is>
          <t>Детский</t>
        </is>
      </c>
      <c r="E75" s="3" t="inlineStr">
        <is>
          <t>Зелёные «HALLOWEEN»</t>
        </is>
      </c>
      <c r="F75" s="4" t="n">
        <v>5</v>
      </c>
      <c r="G75" s="3" t="inlineStr">
        <is>
          <t>Детские носки</t>
        </is>
      </c>
      <c r="H75" s="3" t="n">
        <v>230</v>
      </c>
    </row>
    <row r="76" ht="64" customHeight="1">
      <c r="A76" s="2" t="inlineStr">
        <is>
          <t>kids-socks-halloween-kids-cat</t>
        </is>
      </c>
      <c r="B76" s="3">
        <f>IMAGE("https://nosinoski.ru/products/kids-socks-halloween/1792100000008.jpg")</f>
        <v/>
      </c>
      <c r="C76" s="3" t="inlineStr">
        <is>
          <t>Детские носки «Хэллоуин»</t>
        </is>
      </c>
      <c r="D76" s="3" t="inlineStr">
        <is>
          <t>Детский</t>
        </is>
      </c>
      <c r="E76" s="3" t="inlineStr">
        <is>
          <t>Котик со звёздами</t>
        </is>
      </c>
      <c r="F76" s="4" t="n">
        <v>5</v>
      </c>
      <c r="G76" s="3" t="inlineStr">
        <is>
          <t>Детские носки</t>
        </is>
      </c>
      <c r="H76" s="3" t="n">
        <v>230</v>
      </c>
    </row>
    <row r="77" ht="64" customHeight="1">
      <c r="A77" s="2" t="inlineStr">
        <is>
          <t>kids-socks-halloween-kids-ghost</t>
        </is>
      </c>
      <c r="B77" s="3">
        <f>IMAGE("https://nosinoski.ru/products/kids-socks-halloween/1792100000008.jpg")</f>
        <v/>
      </c>
      <c r="C77" s="3" t="inlineStr">
        <is>
          <t>Детские носки «Хэллоуин»</t>
        </is>
      </c>
      <c r="D77" s="3" t="inlineStr">
        <is>
          <t>Детский</t>
        </is>
      </c>
      <c r="E77" s="3" t="inlineStr">
        <is>
          <t>Привидение</t>
        </is>
      </c>
      <c r="F77" s="4" t="n">
        <v>5</v>
      </c>
      <c r="G77" s="3" t="inlineStr">
        <is>
          <t>Детские носки</t>
        </is>
      </c>
      <c r="H77" s="3" t="n">
        <v>230</v>
      </c>
    </row>
    <row r="78" ht="64" customHeight="1">
      <c r="A78" s="2" t="inlineStr">
        <is>
          <t>kids-socks-halloween-kids-pumpkin</t>
        </is>
      </c>
      <c r="B78" s="3">
        <f>IMAGE("https://nosinoski.ru/products/kids-socks-halloween/1792100000008.jpg")</f>
        <v/>
      </c>
      <c r="C78" s="3" t="inlineStr">
        <is>
          <t>Детские носки «Хэллоуин»</t>
        </is>
      </c>
      <c r="D78" s="3" t="inlineStr">
        <is>
          <t>Детский</t>
        </is>
      </c>
      <c r="E78" s="3" t="inlineStr">
        <is>
          <t>Тыква PUMPKIN</t>
        </is>
      </c>
      <c r="F78" s="4" t="n">
        <v>5</v>
      </c>
      <c r="G78" s="3" t="inlineStr">
        <is>
          <t>Детские носки</t>
        </is>
      </c>
      <c r="H78" s="3" t="n">
        <v>230</v>
      </c>
    </row>
    <row r="79" ht="64" customHeight="1">
      <c r="A79" s="2" t="inlineStr">
        <is>
          <t>kids-footies-dino-5-6y-green</t>
        </is>
      </c>
      <c r="B79" s="3">
        <f>IMAGE("https://nosinoski.ru/products/kids-footies-dino/1792100000005.jpg")</f>
        <v/>
      </c>
      <c r="C79" s="3" t="inlineStr">
        <is>
          <t>Детские следки «Динозаврики»</t>
        </is>
      </c>
      <c r="D79" s="3" t="inlineStr">
        <is>
          <t>5-6 лет</t>
        </is>
      </c>
      <c r="E79" s="3" t="inlineStr">
        <is>
          <t>Белые, зелёный динозавр</t>
        </is>
      </c>
      <c r="F79" s="4" t="n">
        <v>5</v>
      </c>
      <c r="G79" s="3" t="inlineStr">
        <is>
          <t>Детские носки</t>
        </is>
      </c>
      <c r="H79" s="3" t="n">
        <v>230</v>
      </c>
    </row>
    <row r="80" ht="64" customHeight="1">
      <c r="A80" s="2" t="inlineStr">
        <is>
          <t>kids-footies-dino-5-6y-lime</t>
        </is>
      </c>
      <c r="B80" s="3">
        <f>IMAGE("https://nosinoski.ru/products/kids-footies-dino/1792100000005.jpg")</f>
        <v/>
      </c>
      <c r="C80" s="3" t="inlineStr">
        <is>
          <t>Детские следки «Динозаврики»</t>
        </is>
      </c>
      <c r="D80" s="3" t="inlineStr">
        <is>
          <t>5-6 лет</t>
        </is>
      </c>
      <c r="E80" s="3" t="inlineStr">
        <is>
          <t>Белые, синий динозавр</t>
        </is>
      </c>
      <c r="F80" s="4" t="n">
        <v>5</v>
      </c>
      <c r="G80" s="3" t="inlineStr">
        <is>
          <t>Детские носки</t>
        </is>
      </c>
      <c r="H80" s="3" t="n">
        <v>230</v>
      </c>
    </row>
    <row r="81" ht="64" customHeight="1">
      <c r="A81" s="2" t="inlineStr">
        <is>
          <t>kids-footies-dino-5-6y-blue</t>
        </is>
      </c>
      <c r="B81" s="3">
        <f>IMAGE("https://nosinoski.ru/products/kids-footies-dino/1792100000005.jpg")</f>
        <v/>
      </c>
      <c r="C81" s="3" t="inlineStr">
        <is>
          <t>Детские следки «Динозаврики»</t>
        </is>
      </c>
      <c r="D81" s="3" t="inlineStr">
        <is>
          <t>5-6 лет</t>
        </is>
      </c>
      <c r="E81" s="3" t="inlineStr">
        <is>
          <t>Голубые, рыбка</t>
        </is>
      </c>
      <c r="F81" s="4" t="n">
        <v>5</v>
      </c>
      <c r="G81" s="3" t="inlineStr">
        <is>
          <t>Детские носки</t>
        </is>
      </c>
      <c r="H81" s="3" t="n">
        <v>230</v>
      </c>
    </row>
    <row r="82" ht="64" customHeight="1">
      <c r="A82" s="2" t="inlineStr">
        <is>
          <t>kids-footies-dino-5-6y-mint</t>
        </is>
      </c>
      <c r="B82" s="3">
        <f>IMAGE("https://nosinoski.ru/products/kids-footies-dino/1792100000005.jpg")</f>
        <v/>
      </c>
      <c r="C82" s="3" t="inlineStr">
        <is>
          <t>Детские следки «Динозаврики»</t>
        </is>
      </c>
      <c r="D82" s="3" t="inlineStr">
        <is>
          <t>5-6 лет</t>
        </is>
      </c>
      <c r="E82" s="3" t="inlineStr">
        <is>
          <t>Мятные, машинки и киты</t>
        </is>
      </c>
      <c r="F82" s="4" t="n">
        <v>5</v>
      </c>
      <c r="G82" s="3" t="inlineStr">
        <is>
          <t>Детские носки</t>
        </is>
      </c>
      <c r="H82" s="3" t="n">
        <v>230</v>
      </c>
    </row>
    <row r="83" ht="64" customHeight="1">
      <c r="A83" s="2" t="inlineStr">
        <is>
          <t>kids-footies-dino-5-6y-grey</t>
        </is>
      </c>
      <c r="B83" s="3">
        <f>IMAGE("https://nosinoski.ru/products/kids-footies-dino/1792100000005.jpg")</f>
        <v/>
      </c>
      <c r="C83" s="3" t="inlineStr">
        <is>
          <t>Детские следки «Динозаврики»</t>
        </is>
      </c>
      <c r="D83" s="3" t="inlineStr">
        <is>
          <t>5-6 лет</t>
        </is>
      </c>
      <c r="E83" s="3" t="inlineStr">
        <is>
          <t>Серые, жёлтый динозавр</t>
        </is>
      </c>
      <c r="F83" s="4" t="n">
        <v>5</v>
      </c>
      <c r="G83" s="3" t="inlineStr">
        <is>
          <t>Детские носки</t>
        </is>
      </c>
      <c r="H83" s="3" t="n">
        <v>230</v>
      </c>
    </row>
    <row r="84" ht="64" customHeight="1">
      <c r="A84" s="2" t="inlineStr">
        <is>
          <t>sport-socks-white-free-stripes</t>
        </is>
      </c>
      <c r="B84" s="3">
        <f>IMAGE("https://nosinoski.ru/products/sport-socks-white/1792100000069.jpg")</f>
        <v/>
      </c>
      <c r="C84" s="3" t="inlineStr">
        <is>
          <t>Белые спортивные носки</t>
        </is>
      </c>
      <c r="D84" s="3" t="inlineStr">
        <is>
          <t>36-42</t>
        </is>
      </c>
      <c r="E84" s="3" t="inlineStr">
        <is>
          <t>Белые, три полоски</t>
        </is>
      </c>
      <c r="F84" s="4" t="n">
        <v>5</v>
      </c>
      <c r="G84" s="3" t="inlineStr">
        <is>
          <t>Спортивные носки</t>
        </is>
      </c>
      <c r="H84" s="3" t="n">
        <v>220</v>
      </c>
    </row>
    <row r="85" ht="64" customHeight="1">
      <c r="A85" s="2" t="inlineStr">
        <is>
          <t>sport-socks-white-free-chevron</t>
        </is>
      </c>
      <c r="B85" s="3">
        <f>IMAGE("https://nosinoski.ru/products/sport-socks-white/1792100000069.jpg")</f>
        <v/>
      </c>
      <c r="C85" s="3" t="inlineStr">
        <is>
          <t>Белые спортивные носки</t>
        </is>
      </c>
      <c r="D85" s="3" t="inlineStr">
        <is>
          <t>36-42</t>
        </is>
      </c>
      <c r="E85" s="3" t="inlineStr">
        <is>
          <t>Белые, уголок</t>
        </is>
      </c>
      <c r="F85" s="4" t="n">
        <v>5</v>
      </c>
      <c r="G85" s="3" t="inlineStr">
        <is>
          <t>Спортивные носки</t>
        </is>
      </c>
      <c r="H85" s="3" t="n">
        <v>220</v>
      </c>
    </row>
    <row r="86" ht="64" customHeight="1">
      <c r="A86" s="2" t="inlineStr">
        <is>
          <t>women-socks-trek-pile-35-40-grey</t>
        </is>
      </c>
      <c r="B86" s="3">
        <f>IMAGE("https://nosinoski.ru/products/women-socks-trek-pile/1792100000077.jpg")</f>
        <v/>
      </c>
      <c r="C86" s="3" t="inlineStr">
        <is>
          <t>Женские трекинговые носки Slazenger</t>
        </is>
      </c>
      <c r="D86" s="3" t="inlineStr">
        <is>
          <t>35-40</t>
        </is>
      </c>
      <c r="E86" s="3" t="inlineStr">
        <is>
          <t>Серый меланж</t>
        </is>
      </c>
      <c r="F86" s="4" t="n">
        <v>5</v>
      </c>
      <c r="G86" s="3" t="inlineStr">
        <is>
          <t>Спортивные носки</t>
        </is>
      </c>
      <c r="H86" s="3" t="n">
        <v>220</v>
      </c>
    </row>
    <row r="87" ht="64" customHeight="1">
      <c r="A87" s="2" t="inlineStr">
        <is>
          <t>socks-diagonal-free-black</t>
        </is>
      </c>
      <c r="B87" s="3">
        <f>IMAGE("https://nosinoski.ru/products/socks-diagonal/1792100000072.jpg")</f>
        <v/>
      </c>
      <c r="C87" s="3" t="inlineStr">
        <is>
          <t>Носки «Диагональ»</t>
        </is>
      </c>
      <c r="D87" s="3" t="inlineStr">
        <is>
          <t>36-42</t>
        </is>
      </c>
      <c r="E87" s="3" t="inlineStr">
        <is>
          <t>Чёрные</t>
        </is>
      </c>
      <c r="F87" s="4" t="n">
        <v>5</v>
      </c>
      <c r="G87" s="3" t="inlineStr">
        <is>
          <t>Спортивные носки</t>
        </is>
      </c>
      <c r="H87" s="3" t="n">
        <v>220</v>
      </c>
    </row>
    <row r="88" ht="64" customHeight="1">
      <c r="A88" s="2" t="inlineStr">
        <is>
          <t>sport-socks-3stripes-free-white</t>
        </is>
      </c>
      <c r="B88" s="3">
        <f>IMAGE("https://nosinoski.ru/products/sport-socks-3stripes/1792100000066.jpg")</f>
        <v/>
      </c>
      <c r="C88" s="3" t="inlineStr">
        <is>
          <t>Спортивные носки «Три полоски»</t>
        </is>
      </c>
      <c r="D88" s="3" t="inlineStr">
        <is>
          <t>36-42</t>
        </is>
      </c>
      <c r="E88" s="3" t="inlineStr">
        <is>
          <t>Белые, чёрные полоски</t>
        </is>
      </c>
      <c r="F88" s="4" t="n">
        <v>5</v>
      </c>
      <c r="G88" s="3" t="inlineStr">
        <is>
          <t>Спортивные носки</t>
        </is>
      </c>
      <c r="H88" s="3" t="n">
        <v>220</v>
      </c>
    </row>
    <row r="89" ht="64" customHeight="1">
      <c r="A89" s="2" t="inlineStr">
        <is>
          <t>sport-socks-3stripes-free-grey</t>
        </is>
      </c>
      <c r="B89" s="3">
        <f>IMAGE("https://nosinoski.ru/products/sport-socks-3stripes/1792100000066.jpg")</f>
        <v/>
      </c>
      <c r="C89" s="3" t="inlineStr">
        <is>
          <t>Спортивные носки «Три полоски»</t>
        </is>
      </c>
      <c r="D89" s="3" t="inlineStr">
        <is>
          <t>36-42</t>
        </is>
      </c>
      <c r="E89" s="3" t="inlineStr">
        <is>
          <t>Серые, чёрные полоски</t>
        </is>
      </c>
      <c r="F89" s="4" t="n">
        <v>5</v>
      </c>
      <c r="G89" s="3" t="inlineStr">
        <is>
          <t>Спортивные носки</t>
        </is>
      </c>
      <c r="H89" s="3" t="n">
        <v>220</v>
      </c>
    </row>
    <row r="90" ht="64" customHeight="1">
      <c r="A90" s="2" t="inlineStr">
        <is>
          <t>sport-socks-3stripes-free-black</t>
        </is>
      </c>
      <c r="B90" s="3">
        <f>IMAGE("https://nosinoski.ru/products/sport-socks-3stripes/1792100000066.jpg")</f>
        <v/>
      </c>
      <c r="C90" s="3" t="inlineStr">
        <is>
          <t>Спортивные носки «Три полоски»</t>
        </is>
      </c>
      <c r="D90" s="3" t="inlineStr">
        <is>
          <t>36-42</t>
        </is>
      </c>
      <c r="E90" s="3" t="inlineStr">
        <is>
          <t>Чёрные, белые полоски</t>
        </is>
      </c>
      <c r="F90" s="4" t="n">
        <v>5</v>
      </c>
      <c r="G90" s="3" t="inlineStr">
        <is>
          <t>Спортивные носки</t>
        </is>
      </c>
      <c r="H90" s="3" t="n">
        <v>220</v>
      </c>
    </row>
    <row r="91" ht="64" customHeight="1">
      <c r="A91" s="2" t="inlineStr">
        <is>
          <t>sport-socks-trek-pile-40-45-grey</t>
        </is>
      </c>
      <c r="B91" s="3">
        <f>IMAGE("https://nosinoski.ru/products/sport-socks-trek-pile/1792100000074.jpg")</f>
        <v/>
      </c>
      <c r="C91" s="3" t="inlineStr">
        <is>
          <t>Трекинговые махровые носки Slazenger</t>
        </is>
      </c>
      <c r="D91" s="3" t="inlineStr">
        <is>
          <t>40-45</t>
        </is>
      </c>
      <c r="E91" s="3" t="inlineStr">
        <is>
          <t>Серый меланж</t>
        </is>
      </c>
      <c r="F91" s="4" t="n">
        <v>5</v>
      </c>
      <c r="G91" s="3" t="inlineStr">
        <is>
          <t>Спортивные носки</t>
        </is>
      </c>
      <c r="H91" s="3" t="n">
        <v>220</v>
      </c>
    </row>
    <row r="92" ht="64" customHeight="1">
      <c r="A92" s="2" t="inlineStr">
        <is>
          <t>sport-socks-trek-pile-40-45-navy</t>
        </is>
      </c>
      <c r="B92" s="3">
        <f>IMAGE("https://nosinoski.ru/products/sport-socks-trek-pile/1792100000074.jpg")</f>
        <v/>
      </c>
      <c r="C92" s="3" t="inlineStr">
        <is>
          <t>Трекинговые махровые носки Slazenger</t>
        </is>
      </c>
      <c r="D92" s="3" t="inlineStr">
        <is>
          <t>40-45</t>
        </is>
      </c>
      <c r="E92" s="3" t="inlineStr">
        <is>
          <t>Тёмно-синие с меланжем</t>
        </is>
      </c>
      <c r="F92" s="4" t="n">
        <v>5</v>
      </c>
      <c r="G92" s="3" t="inlineStr">
        <is>
          <t>Спортивные носки</t>
        </is>
      </c>
      <c r="H92" s="3" t="n">
        <v>220</v>
      </c>
    </row>
    <row r="93" ht="64" customHeight="1">
      <c r="A93" s="2" t="inlineStr">
        <is>
          <t>warm-socks-aeroheat-40-45-light</t>
        </is>
      </c>
      <c r="B93" s="3">
        <f>IMAGE("https://nosinoski.ru/products/warm-socks-aeroheat/1792100000085.jpg")</f>
        <v/>
      </c>
      <c r="C93" s="3" t="inlineStr">
        <is>
          <t>Супертёплые носки Slazenger Aeroheat</t>
        </is>
      </c>
      <c r="D93" s="3" t="inlineStr">
        <is>
          <t>40-45</t>
        </is>
      </c>
      <c r="E93" s="3" t="inlineStr">
        <is>
          <t>Светло-серые, синие полоски</t>
        </is>
      </c>
      <c r="F93" s="4" t="n">
        <v>5</v>
      </c>
      <c r="G93" s="3" t="inlineStr">
        <is>
          <t>Тёплые носки</t>
        </is>
      </c>
      <c r="H93" s="3" t="n">
        <v>370</v>
      </c>
    </row>
    <row r="94" ht="64" customHeight="1">
      <c r="A94" s="2" t="inlineStr">
        <is>
          <t>warm-socks-aeroheat-40-45-plaid</t>
        </is>
      </c>
      <c r="B94" s="3">
        <f>IMAGE("https://nosinoski.ru/products/warm-socks-aeroheat/1792100000085.jpg")</f>
        <v/>
      </c>
      <c r="C94" s="3" t="inlineStr">
        <is>
          <t>Супертёплые носки Slazenger Aeroheat</t>
        </is>
      </c>
      <c r="D94" s="3" t="inlineStr">
        <is>
          <t>40-45</t>
        </is>
      </c>
      <c r="E94" s="3" t="inlineStr">
        <is>
          <t>Серые, клетка</t>
        </is>
      </c>
      <c r="F94" s="4" t="n">
        <v>5</v>
      </c>
      <c r="G94" s="3" t="inlineStr">
        <is>
          <t>Тёплые носки</t>
        </is>
      </c>
      <c r="H94" s="3" t="n">
        <v>370</v>
      </c>
    </row>
    <row r="95" ht="64" customHeight="1">
      <c r="A95" s="2" t="inlineStr">
        <is>
          <t>warm-socks-aeroheat-40-45-dark</t>
        </is>
      </c>
      <c r="B95" s="3">
        <f>IMAGE("https://nosinoski.ru/products/warm-socks-aeroheat/1792100000085.jpg")</f>
        <v/>
      </c>
      <c r="C95" s="3" t="inlineStr">
        <is>
          <t>Супертёплые носки Slazenger Aeroheat</t>
        </is>
      </c>
      <c r="D95" s="3" t="inlineStr">
        <is>
          <t>40-45</t>
        </is>
      </c>
      <c r="E95" s="3" t="inlineStr">
        <is>
          <t>Тёмно-серые, синие полоски</t>
        </is>
      </c>
      <c r="F95" s="4" t="n">
        <v>5</v>
      </c>
      <c r="G95" s="3" t="inlineStr">
        <is>
          <t>Тёплые носки</t>
        </is>
      </c>
      <c r="H95" s="3" t="n">
        <v>370</v>
      </c>
    </row>
    <row r="96" ht="64" customHeight="1">
      <c r="A96" s="2" t="inlineStr">
        <is>
          <t>warm-socks-polo-stars-40-45-grey</t>
        </is>
      </c>
      <c r="B96" s="3">
        <f>IMAGE("https://nosinoski.ru/products/warm-socks-polo-stars/1792100000088.jpg")</f>
        <v/>
      </c>
      <c r="C96" s="3" t="inlineStr">
        <is>
          <t>Утеплённые мужские носки «Звёзды»</t>
        </is>
      </c>
      <c r="D96" s="3" t="inlineStr">
        <is>
          <t>40-45</t>
        </is>
      </c>
      <c r="E96" s="3" t="inlineStr">
        <is>
          <t>Тёмно-серые со звёздами</t>
        </is>
      </c>
      <c r="F96" s="4" t="n">
        <v>5</v>
      </c>
      <c r="G96" s="3" t="inlineStr">
        <is>
          <t>Тёплые носки</t>
        </is>
      </c>
      <c r="H96" s="3" t="n">
        <v>300</v>
      </c>
    </row>
    <row r="97" ht="64" customHeight="1">
      <c r="A97" s="2" t="inlineStr">
        <is>
          <t>soft-socks-thin-stripe-40-45-grey</t>
        </is>
      </c>
      <c r="B97" s="3">
        <f>IMAGE("https://nosinoski.ru/products/soft-socks-thin-stripe/1792100000082.jpg")</f>
        <v/>
      </c>
      <c r="C97" s="3" t="inlineStr">
        <is>
          <t>Мужские носки в тонкую полоску, мягкая резинка</t>
        </is>
      </c>
      <c r="D97" s="3" t="inlineStr">
        <is>
          <t>40-45</t>
        </is>
      </c>
      <c r="E97" s="3" t="inlineStr">
        <is>
          <t>Серые в полоску</t>
        </is>
      </c>
      <c r="F97" s="4" t="n">
        <v>5</v>
      </c>
      <c r="G97" s="3" t="inlineStr">
        <is>
          <t>Мягкая резинка</t>
        </is>
      </c>
      <c r="H97" s="3" t="n">
        <v>220</v>
      </c>
    </row>
    <row r="98" ht="64" customHeight="1">
      <c r="A98" s="2" t="inlineStr">
        <is>
          <t>soft-socks-slazenger-40-45-grey</t>
        </is>
      </c>
      <c r="B98" s="3">
        <f>IMAGE("https://nosinoski.ru/products/soft-socks-slazenger/1792100000079.jpg")</f>
        <v/>
      </c>
      <c r="C98" s="3" t="inlineStr">
        <is>
          <t>Мужские носки с мягкой резинкой Slazenger</t>
        </is>
      </c>
      <c r="D98" s="3" t="inlineStr">
        <is>
          <t>40-45</t>
        </is>
      </c>
      <c r="E98" s="3" t="inlineStr">
        <is>
          <t>Серые</t>
        </is>
      </c>
      <c r="F98" s="4" t="n">
        <v>5</v>
      </c>
      <c r="G98" s="3" t="inlineStr">
        <is>
          <t>Мягкая резинка</t>
        </is>
      </c>
      <c r="H98" s="3" t="n">
        <v>200</v>
      </c>
    </row>
    <row r="99" ht="64" customHeight="1">
      <c r="A99" s="2" t="inlineStr">
        <is>
          <t>soft-socks-slazenger-40-45-charcoal</t>
        </is>
      </c>
      <c r="B99" s="3">
        <f>IMAGE("https://nosinoski.ru/products/soft-socks-slazenger/1792100000079.jpg")</f>
        <v/>
      </c>
      <c r="C99" s="3" t="inlineStr">
        <is>
          <t>Мужские носки с мягкой резинкой Slazenger</t>
        </is>
      </c>
      <c r="D99" s="3" t="inlineStr">
        <is>
          <t>40-45</t>
        </is>
      </c>
      <c r="E99" s="3" t="inlineStr">
        <is>
          <t>Тёмно-серые</t>
        </is>
      </c>
      <c r="F99" s="4" t="n">
        <v>5</v>
      </c>
      <c r="G99" s="3" t="inlineStr">
        <is>
          <t>Мягкая резинка</t>
        </is>
      </c>
      <c r="H99" s="3" t="n">
        <v>200</v>
      </c>
    </row>
    <row r="100" ht="64" customHeight="1">
      <c r="A100" s="2" t="inlineStr">
        <is>
          <t>soft-socks-slazenger-40-45-black</t>
        </is>
      </c>
      <c r="B100" s="3">
        <f>IMAGE("https://nosinoski.ru/products/soft-socks-slazenger/1792100000079.jpg")</f>
        <v/>
      </c>
      <c r="C100" s="3" t="inlineStr">
        <is>
          <t>Мужские носки с мягкой резинкой Slazenger</t>
        </is>
      </c>
      <c r="D100" s="3" t="inlineStr">
        <is>
          <t>40-45</t>
        </is>
      </c>
      <c r="E100" s="3" t="inlineStr">
        <is>
          <t>Чёрные</t>
        </is>
      </c>
      <c r="F100" s="4" t="n">
        <v>5</v>
      </c>
      <c r="G100" s="3" t="inlineStr">
        <is>
          <t>Мягкая резинка</t>
        </is>
      </c>
      <c r="H100" s="3" t="n">
        <v>200</v>
      </c>
    </row>
    <row r="101" ht="64" customHeight="1">
      <c r="A101" s="2" t="inlineStr">
        <is>
          <t>women-briefs-floral-l-floral</t>
        </is>
      </c>
      <c r="B101" s="3">
        <f>IMAGE("https://nosinoski.ru/products/women-briefs-floral/1792040431893.jpg")</f>
        <v/>
      </c>
      <c r="C101" s="3" t="inlineStr">
        <is>
          <t>Трусики женские «Цветочки»</t>
        </is>
      </c>
      <c r="D101" s="3" t="inlineStr">
        <is>
          <t>L</t>
        </is>
      </c>
      <c r="E101" s="3" t="inlineStr">
        <is>
          <t>Мелкий цветочек, синяя резинка</t>
        </is>
      </c>
      <c r="F101" s="4" t="n">
        <v>5</v>
      </c>
      <c r="G101" s="3" t="inlineStr">
        <is>
          <t>Женское бельё</t>
        </is>
      </c>
      <c r="H101" s="3" t="n">
        <v>450</v>
      </c>
    </row>
    <row r="102" ht="64" customHeight="1">
      <c r="A102" s="2" t="inlineStr">
        <is>
          <t>women-briefs-floral-m-floral</t>
        </is>
      </c>
      <c r="B102" s="3">
        <f>IMAGE("https://nosinoski.ru/products/women-briefs-floral/1792040431893.jpg")</f>
        <v/>
      </c>
      <c r="C102" s="3" t="inlineStr">
        <is>
          <t>Трусики женские «Цветочки»</t>
        </is>
      </c>
      <c r="D102" s="3" t="inlineStr">
        <is>
          <t>M</t>
        </is>
      </c>
      <c r="E102" s="3" t="inlineStr">
        <is>
          <t>Мелкий цветочек, синяя резинка</t>
        </is>
      </c>
      <c r="F102" s="4" t="n">
        <v>5</v>
      </c>
      <c r="G102" s="3" t="inlineStr">
        <is>
          <t>Женское бельё</t>
        </is>
      </c>
      <c r="H102" s="3" t="n">
        <v>450</v>
      </c>
    </row>
    <row r="103" ht="64" customHeight="1">
      <c r="A103" s="2" t="inlineStr">
        <is>
          <t>women-briefs-floral-s-floral</t>
        </is>
      </c>
      <c r="B103" s="3">
        <f>IMAGE("https://nosinoski.ru/products/women-briefs-floral/1792040431893.jpg")</f>
        <v/>
      </c>
      <c r="C103" s="3" t="inlineStr">
        <is>
          <t>Трусики женские «Цветочки»</t>
        </is>
      </c>
      <c r="D103" s="3" t="inlineStr">
        <is>
          <t>S</t>
        </is>
      </c>
      <c r="E103" s="3" t="inlineStr">
        <is>
          <t>Мелкий цветочек, синяя резинка</t>
        </is>
      </c>
      <c r="F103" s="4" t="n">
        <v>5</v>
      </c>
      <c r="G103" s="3" t="inlineStr">
        <is>
          <t>Женское бельё</t>
        </is>
      </c>
      <c r="H103" s="3" t="n">
        <v>450</v>
      </c>
    </row>
    <row r="104" ht="64" customHeight="1">
      <c r="A104" s="2" t="inlineStr">
        <is>
          <t>women-briefs-floral-xl-floral</t>
        </is>
      </c>
      <c r="B104" s="3">
        <f>IMAGE("https://nosinoski.ru/products/women-briefs-floral/1792040431893.jpg")</f>
        <v/>
      </c>
      <c r="C104" s="3" t="inlineStr">
        <is>
          <t>Трусики женские «Цветочки»</t>
        </is>
      </c>
      <c r="D104" s="3" t="inlineStr">
        <is>
          <t>XL</t>
        </is>
      </c>
      <c r="E104" s="3" t="inlineStr">
        <is>
          <t>Мелкий цветочек, синяя резинка</t>
        </is>
      </c>
      <c r="F104" s="4" t="n">
        <v>5</v>
      </c>
      <c r="G104" s="3" t="inlineStr">
        <is>
          <t>Женское бельё</t>
        </is>
      </c>
      <c r="H104" s="3" t="n">
        <v>450</v>
      </c>
    </row>
    <row r="105" ht="64" customHeight="1">
      <c r="A105" s="2" t="inlineStr">
        <is>
          <t>women-briefs-floral-l-roses</t>
        </is>
      </c>
      <c r="B105" s="3">
        <f>IMAGE("https://nosinoski.ru/products/women-briefs-floral/1792040431893.jpg")</f>
        <v/>
      </c>
      <c r="C105" s="3" t="inlineStr">
        <is>
          <t>Трусики женские «Цветочки»</t>
        </is>
      </c>
      <c r="D105" s="3" t="inlineStr">
        <is>
          <t>L</t>
        </is>
      </c>
      <c r="E105" s="3" t="inlineStr">
        <is>
          <t>Розочки с кружевом</t>
        </is>
      </c>
      <c r="F105" s="4" t="n">
        <v>5</v>
      </c>
      <c r="G105" s="3" t="inlineStr">
        <is>
          <t>Женское бельё</t>
        </is>
      </c>
      <c r="H105" s="3" t="n">
        <v>450</v>
      </c>
    </row>
    <row r="106" ht="64" customHeight="1">
      <c r="A106" s="2" t="inlineStr">
        <is>
          <t>women-briefs-floral-m-roses</t>
        </is>
      </c>
      <c r="B106" s="3">
        <f>IMAGE("https://nosinoski.ru/products/women-briefs-floral/1792040431893.jpg")</f>
        <v/>
      </c>
      <c r="C106" s="3" t="inlineStr">
        <is>
          <t>Трусики женские «Цветочки»</t>
        </is>
      </c>
      <c r="D106" s="3" t="inlineStr">
        <is>
          <t>M</t>
        </is>
      </c>
      <c r="E106" s="3" t="inlineStr">
        <is>
          <t>Розочки с кружевом</t>
        </is>
      </c>
      <c r="F106" s="4" t="n">
        <v>5</v>
      </c>
      <c r="G106" s="3" t="inlineStr">
        <is>
          <t>Женское бельё</t>
        </is>
      </c>
      <c r="H106" s="3" t="n">
        <v>450</v>
      </c>
    </row>
    <row r="107" ht="64" customHeight="1">
      <c r="A107" s="2" t="inlineStr">
        <is>
          <t>women-briefs-floral-s-roses</t>
        </is>
      </c>
      <c r="B107" s="3">
        <f>IMAGE("https://nosinoski.ru/products/women-briefs-floral/1792040431893.jpg")</f>
        <v/>
      </c>
      <c r="C107" s="3" t="inlineStr">
        <is>
          <t>Трусики женские «Цветочки»</t>
        </is>
      </c>
      <c r="D107" s="3" t="inlineStr">
        <is>
          <t>S</t>
        </is>
      </c>
      <c r="E107" s="3" t="inlineStr">
        <is>
          <t>Розочки с кружевом</t>
        </is>
      </c>
      <c r="F107" s="4" t="n">
        <v>5</v>
      </c>
      <c r="G107" s="3" t="inlineStr">
        <is>
          <t>Женское бельё</t>
        </is>
      </c>
      <c r="H107" s="3" t="n">
        <v>450</v>
      </c>
    </row>
    <row r="108" ht="64" customHeight="1">
      <c r="A108" s="2" t="inlineStr">
        <is>
          <t>women-briefs-floral-xl-roses</t>
        </is>
      </c>
      <c r="B108" s="3">
        <f>IMAGE("https://nosinoski.ru/products/women-briefs-floral/1792040431893.jpg")</f>
        <v/>
      </c>
      <c r="C108" s="3" t="inlineStr">
        <is>
          <t>Трусики женские «Цветочки»</t>
        </is>
      </c>
      <c r="D108" s="3" t="inlineStr">
        <is>
          <t>XL</t>
        </is>
      </c>
      <c r="E108" s="3" t="inlineStr">
        <is>
          <t>Розочки с кружевом</t>
        </is>
      </c>
      <c r="F108" s="4" t="n">
        <v>5</v>
      </c>
      <c r="G108" s="3" t="inlineStr">
        <is>
          <t>Женское бельё</t>
        </is>
      </c>
      <c r="H108" s="3" t="n">
        <v>450</v>
      </c>
    </row>
    <row r="109" ht="64" customHeight="1">
      <c r="A109" s="2" t="inlineStr">
        <is>
          <t>men-boxers-ab-melange-l-set</t>
        </is>
      </c>
      <c r="B109" s="3">
        <f>IMAGE("https://nosinoski.ru/products/men-boxers-ab-melange/1792040432026.jpg")</f>
        <v/>
      </c>
      <c r="C109" s="3" t="inlineStr">
        <is>
          <t>Боксеры Arnaldo Bassini меланж, коробка 3 шт</t>
        </is>
      </c>
      <c r="D109" s="3" t="inlineStr">
        <is>
          <t>L</t>
        </is>
      </c>
      <c r="E109" s="3" t="inlineStr">
        <is>
          <t>Бордовый + синий + графит (меланж)</t>
        </is>
      </c>
      <c r="F109" s="4" t="n">
        <v>5</v>
      </c>
      <c r="G109" s="3" t="inlineStr">
        <is>
          <t>Мужское бельё</t>
        </is>
      </c>
      <c r="H109" s="3" t="n">
        <v>2400</v>
      </c>
    </row>
    <row r="110" ht="64" customHeight="1">
      <c r="A110" s="2" t="inlineStr">
        <is>
          <t>men-boxers-ab-melange-m-set</t>
        </is>
      </c>
      <c r="B110" s="3">
        <f>IMAGE("https://nosinoski.ru/products/men-boxers-ab-melange/1792040432026.jpg")</f>
        <v/>
      </c>
      <c r="C110" s="3" t="inlineStr">
        <is>
          <t>Боксеры Arnaldo Bassini меланж, коробка 3 шт</t>
        </is>
      </c>
      <c r="D110" s="3" t="inlineStr">
        <is>
          <t>M</t>
        </is>
      </c>
      <c r="E110" s="3" t="inlineStr">
        <is>
          <t>Бордовый + синий + графит (меланж)</t>
        </is>
      </c>
      <c r="F110" s="4" t="n">
        <v>5</v>
      </c>
      <c r="G110" s="3" t="inlineStr">
        <is>
          <t>Мужское бельё</t>
        </is>
      </c>
      <c r="H110" s="3" t="n">
        <v>2400</v>
      </c>
    </row>
    <row r="111" ht="64" customHeight="1">
      <c r="A111" s="2" t="inlineStr">
        <is>
          <t>men-boxers-ab-melange-xl-set</t>
        </is>
      </c>
      <c r="B111" s="3">
        <f>IMAGE("https://nosinoski.ru/products/men-boxers-ab-melange/1792040432026.jpg")</f>
        <v/>
      </c>
      <c r="C111" s="3" t="inlineStr">
        <is>
          <t>Боксеры Arnaldo Bassini меланж, коробка 3 шт</t>
        </is>
      </c>
      <c r="D111" s="3" t="inlineStr">
        <is>
          <t>XL</t>
        </is>
      </c>
      <c r="E111" s="3" t="inlineStr">
        <is>
          <t>Бордовый + синий + графит (меланж)</t>
        </is>
      </c>
      <c r="F111" s="4" t="n">
        <v>5</v>
      </c>
      <c r="G111" s="3" t="inlineStr">
        <is>
          <t>Мужское бельё</t>
        </is>
      </c>
      <c r="H111" s="3" t="n">
        <v>2400</v>
      </c>
    </row>
    <row r="112" ht="64" customHeight="1">
      <c r="A112" s="2" t="inlineStr">
        <is>
          <t>men-boxers-ab-melange-xxl-set</t>
        </is>
      </c>
      <c r="B112" s="3">
        <f>IMAGE("https://nosinoski.ru/products/men-boxers-ab-melange/1792040432026.jpg")</f>
        <v/>
      </c>
      <c r="C112" s="3" t="inlineStr">
        <is>
          <t>Боксеры Arnaldo Bassini меланж, коробка 3 шт</t>
        </is>
      </c>
      <c r="D112" s="3" t="inlineStr">
        <is>
          <t>XXL</t>
        </is>
      </c>
      <c r="E112" s="3" t="inlineStr">
        <is>
          <t>Бордовый + синий + графит (меланж)</t>
        </is>
      </c>
      <c r="F112" s="4" t="n">
        <v>5</v>
      </c>
      <c r="G112" s="3" t="inlineStr">
        <is>
          <t>Мужское бельё</t>
        </is>
      </c>
      <c r="H112" s="3" t="n">
        <v>2400</v>
      </c>
    </row>
    <row r="113" ht="64" customHeight="1">
      <c r="A113" s="2" t="inlineStr">
        <is>
          <t>men-boxers-ab-logo-l-set</t>
        </is>
      </c>
      <c r="B113" s="3">
        <f>IMAGE("https://nosinoski.ru/products/men-boxers-ab-logo/1792040431998.jpg")</f>
        <v/>
      </c>
      <c r="C113" s="3" t="inlineStr">
        <is>
          <t>Боксеры Arnaldo Bassini с логотипом, коробка 3 шт</t>
        </is>
      </c>
      <c r="D113" s="3" t="inlineStr">
        <is>
          <t>L</t>
        </is>
      </c>
      <c r="E113" s="3" t="inlineStr">
        <is>
          <t>Тёмно-синий + бирюзовый + красный</t>
        </is>
      </c>
      <c r="F113" s="4" t="n">
        <v>5</v>
      </c>
      <c r="G113" s="3" t="inlineStr">
        <is>
          <t>Мужское бельё</t>
        </is>
      </c>
      <c r="H113" s="3" t="n">
        <v>2400</v>
      </c>
    </row>
    <row r="114" ht="64" customHeight="1">
      <c r="A114" s="2" t="inlineStr">
        <is>
          <t>men-boxers-ab-logo-m-set</t>
        </is>
      </c>
      <c r="B114" s="3">
        <f>IMAGE("https://nosinoski.ru/products/men-boxers-ab-logo/1792040431998.jpg")</f>
        <v/>
      </c>
      <c r="C114" s="3" t="inlineStr">
        <is>
          <t>Боксеры Arnaldo Bassini с логотипом, коробка 3 шт</t>
        </is>
      </c>
      <c r="D114" s="3" t="inlineStr">
        <is>
          <t>M</t>
        </is>
      </c>
      <c r="E114" s="3" t="inlineStr">
        <is>
          <t>Тёмно-синий + бирюзовый + красный</t>
        </is>
      </c>
      <c r="F114" s="4" t="n">
        <v>5</v>
      </c>
      <c r="G114" s="3" t="inlineStr">
        <is>
          <t>Мужское бельё</t>
        </is>
      </c>
      <c r="H114" s="3" t="n">
        <v>2400</v>
      </c>
    </row>
    <row r="115" ht="64" customHeight="1">
      <c r="A115" s="2" t="inlineStr">
        <is>
          <t>men-boxers-ab-logo-xl-set</t>
        </is>
      </c>
      <c r="B115" s="3">
        <f>IMAGE("https://nosinoski.ru/products/men-boxers-ab-logo/1792040431998.jpg")</f>
        <v/>
      </c>
      <c r="C115" s="3" t="inlineStr">
        <is>
          <t>Боксеры Arnaldo Bassini с логотипом, коробка 3 шт</t>
        </is>
      </c>
      <c r="D115" s="3" t="inlineStr">
        <is>
          <t>XL</t>
        </is>
      </c>
      <c r="E115" s="3" t="inlineStr">
        <is>
          <t>Тёмно-синий + бирюзовый + красный</t>
        </is>
      </c>
      <c r="F115" s="4" t="n">
        <v>5</v>
      </c>
      <c r="G115" s="3" t="inlineStr">
        <is>
          <t>Мужское бельё</t>
        </is>
      </c>
      <c r="H115" s="3" t="n">
        <v>2400</v>
      </c>
    </row>
    <row r="116" ht="64" customHeight="1">
      <c r="A116" s="2" t="inlineStr">
        <is>
          <t>men-boxers-ab-logo-xxl-set</t>
        </is>
      </c>
      <c r="B116" s="3">
        <f>IMAGE("https://nosinoski.ru/products/men-boxers-ab-logo/1792040431998.jpg")</f>
        <v/>
      </c>
      <c r="C116" s="3" t="inlineStr">
        <is>
          <t>Боксеры Arnaldo Bassini с логотипом, коробка 3 шт</t>
        </is>
      </c>
      <c r="D116" s="3" t="inlineStr">
        <is>
          <t>XXL</t>
        </is>
      </c>
      <c r="E116" s="3" t="inlineStr">
        <is>
          <t>Тёмно-синий + бирюзовый + красный</t>
        </is>
      </c>
      <c r="F116" s="4" t="n">
        <v>5</v>
      </c>
      <c r="G116" s="3" t="inlineStr">
        <is>
          <t>Мужское бельё</t>
        </is>
      </c>
      <c r="H116" s="3" t="n">
        <v>2400</v>
      </c>
    </row>
    <row r="117" ht="64" customHeight="1">
      <c r="A117" s="2" t="inlineStr">
        <is>
          <t>men-boxers-ab-wide-l-set</t>
        </is>
      </c>
      <c r="B117" s="3">
        <f>IMAGE("https://nosinoski.ru/products/men-boxers-ab-wide/1792040431980.jpg")</f>
        <v/>
      </c>
      <c r="C117" s="3" t="inlineStr">
        <is>
          <t>Боксеры Arnaldo Bassini, широкая резинка, коробка 3 шт</t>
        </is>
      </c>
      <c r="D117" s="3" t="inlineStr">
        <is>
          <t>L</t>
        </is>
      </c>
      <c r="E117" s="3" t="inlineStr">
        <is>
          <t>Сливовый + тёмно-синий + чёрный</t>
        </is>
      </c>
      <c r="F117" s="4" t="n">
        <v>5</v>
      </c>
      <c r="G117" s="3" t="inlineStr">
        <is>
          <t>Мужское бельё</t>
        </is>
      </c>
      <c r="H117" s="3" t="n">
        <v>2400</v>
      </c>
    </row>
    <row r="118" ht="64" customHeight="1">
      <c r="A118" s="2" t="inlineStr">
        <is>
          <t>men-boxers-ab-wide-m-set</t>
        </is>
      </c>
      <c r="B118" s="3">
        <f>IMAGE("https://nosinoski.ru/products/men-boxers-ab-wide/1792040431980.jpg")</f>
        <v/>
      </c>
      <c r="C118" s="3" t="inlineStr">
        <is>
          <t>Боксеры Arnaldo Bassini, широкая резинка, коробка 3 шт</t>
        </is>
      </c>
      <c r="D118" s="3" t="inlineStr">
        <is>
          <t>M</t>
        </is>
      </c>
      <c r="E118" s="3" t="inlineStr">
        <is>
          <t>Сливовый + тёмно-синий + чёрный</t>
        </is>
      </c>
      <c r="F118" s="4" t="n">
        <v>5</v>
      </c>
      <c r="G118" s="3" t="inlineStr">
        <is>
          <t>Мужское бельё</t>
        </is>
      </c>
      <c r="H118" s="3" t="n">
        <v>2400</v>
      </c>
    </row>
    <row r="119" ht="64" customHeight="1">
      <c r="A119" s="2" t="inlineStr">
        <is>
          <t>men-boxers-ab-wide-xl-set</t>
        </is>
      </c>
      <c r="B119" s="3">
        <f>IMAGE("https://nosinoski.ru/products/men-boxers-ab-wide/1792040431980.jpg")</f>
        <v/>
      </c>
      <c r="C119" s="3" t="inlineStr">
        <is>
          <t>Боксеры Arnaldo Bassini, широкая резинка, коробка 3 шт</t>
        </is>
      </c>
      <c r="D119" s="3" t="inlineStr">
        <is>
          <t>XL</t>
        </is>
      </c>
      <c r="E119" s="3" t="inlineStr">
        <is>
          <t>Сливовый + тёмно-синий + чёрный</t>
        </is>
      </c>
      <c r="F119" s="4" t="n">
        <v>5</v>
      </c>
      <c r="G119" s="3" t="inlineStr">
        <is>
          <t>Мужское бельё</t>
        </is>
      </c>
      <c r="H119" s="3" t="n">
        <v>2400</v>
      </c>
    </row>
    <row r="120" ht="64" customHeight="1">
      <c r="A120" s="2" t="inlineStr">
        <is>
          <t>men-boxers-ab-wide-xxl-set</t>
        </is>
      </c>
      <c r="B120" s="3">
        <f>IMAGE("https://nosinoski.ru/products/men-boxers-ab-wide/1792040431980.jpg")</f>
        <v/>
      </c>
      <c r="C120" s="3" t="inlineStr">
        <is>
          <t>Боксеры Arnaldo Bassini, широкая резинка, коробка 3 шт</t>
        </is>
      </c>
      <c r="D120" s="3" t="inlineStr">
        <is>
          <t>XXL</t>
        </is>
      </c>
      <c r="E120" s="3" t="inlineStr">
        <is>
          <t>Сливовый + тёмно-синий + чёрный</t>
        </is>
      </c>
      <c r="F120" s="4" t="n">
        <v>5</v>
      </c>
      <c r="G120" s="3" t="inlineStr">
        <is>
          <t>Мужское бельё</t>
        </is>
      </c>
      <c r="H120" s="3" t="n">
        <v>2400</v>
      </c>
    </row>
    <row r="121" ht="64" customHeight="1">
      <c r="A121" s="2" t="inlineStr">
        <is>
          <t>men-boxers-speclo-3-l-set</t>
        </is>
      </c>
      <c r="B121" s="3">
        <f>IMAGE("https://nosinoski.ru/products/men-boxers-speclo-3/1792040431945.jpg")</f>
        <v/>
      </c>
      <c r="C121" s="3" t="inlineStr">
        <is>
          <t>Боксеры мужские Speclo, коробка 3 шт</t>
        </is>
      </c>
      <c r="D121" s="3" t="inlineStr">
        <is>
          <t>L</t>
        </is>
      </c>
      <c r="E121" s="3" t="inlineStr">
        <is>
          <t>Серый + голубой + тёмно-синий</t>
        </is>
      </c>
      <c r="F121" s="4" t="n">
        <v>5</v>
      </c>
      <c r="G121" s="3" t="inlineStr">
        <is>
          <t>Мужское бельё</t>
        </is>
      </c>
      <c r="H121" s="3" t="n">
        <v>2400</v>
      </c>
    </row>
    <row r="122" ht="64" customHeight="1">
      <c r="A122" s="2" t="inlineStr">
        <is>
          <t>men-boxers-speclo-3-m-set</t>
        </is>
      </c>
      <c r="B122" s="3">
        <f>IMAGE("https://nosinoski.ru/products/men-boxers-speclo-3/1792040431945.jpg")</f>
        <v/>
      </c>
      <c r="C122" s="3" t="inlineStr">
        <is>
          <t>Боксеры мужские Speclo, коробка 3 шт</t>
        </is>
      </c>
      <c r="D122" s="3" t="inlineStr">
        <is>
          <t>M</t>
        </is>
      </c>
      <c r="E122" s="3" t="inlineStr">
        <is>
          <t>Серый + голубой + тёмно-синий</t>
        </is>
      </c>
      <c r="F122" s="4" t="n">
        <v>5</v>
      </c>
      <c r="G122" s="3" t="inlineStr">
        <is>
          <t>Мужское бельё</t>
        </is>
      </c>
      <c r="H122" s="3" t="n">
        <v>2400</v>
      </c>
    </row>
    <row r="123" ht="64" customHeight="1">
      <c r="A123" s="2" t="inlineStr">
        <is>
          <t>men-boxers-speclo-3-xl-set</t>
        </is>
      </c>
      <c r="B123" s="3">
        <f>IMAGE("https://nosinoski.ru/products/men-boxers-speclo-3/1792040431945.jpg")</f>
        <v/>
      </c>
      <c r="C123" s="3" t="inlineStr">
        <is>
          <t>Боксеры мужские Speclo, коробка 3 шт</t>
        </is>
      </c>
      <c r="D123" s="3" t="inlineStr">
        <is>
          <t>XL</t>
        </is>
      </c>
      <c r="E123" s="3" t="inlineStr">
        <is>
          <t>Серый + голубой + тёмно-синий</t>
        </is>
      </c>
      <c r="F123" s="4" t="n">
        <v>5</v>
      </c>
      <c r="G123" s="3" t="inlineStr">
        <is>
          <t>Мужское бельё</t>
        </is>
      </c>
      <c r="H123" s="3" t="n">
        <v>2400</v>
      </c>
    </row>
    <row r="124" ht="64" customHeight="1">
      <c r="A124" s="2" t="inlineStr">
        <is>
          <t>men-boxers-speclo-3-xxl-set</t>
        </is>
      </c>
      <c r="B124" s="3">
        <f>IMAGE("https://nosinoski.ru/products/men-boxers-speclo-3/1792040431945.jpg")</f>
        <v/>
      </c>
      <c r="C124" s="3" t="inlineStr">
        <is>
          <t>Боксеры мужские Speclo, коробка 3 шт</t>
        </is>
      </c>
      <c r="D124" s="3" t="inlineStr">
        <is>
          <t>XXL</t>
        </is>
      </c>
      <c r="E124" s="3" t="inlineStr">
        <is>
          <t>Серый + голубой + тёмно-синий</t>
        </is>
      </c>
      <c r="F124" s="4" t="n">
        <v>5</v>
      </c>
      <c r="G124" s="3" t="inlineStr">
        <is>
          <t>Мужское бельё</t>
        </is>
      </c>
      <c r="H124" s="3" t="n">
        <v>2400</v>
      </c>
    </row>
  </sheetData>
  <autoFilter ref="A1:H124"/>
  <conditionalFormatting sqref="F2:F124">
    <cfRule type="cellIs" priority="1" operator="equal" dxfId="0">
      <formula>0</formula>
    </cfRule>
    <cfRule type="cellIs" priority="2" operator="between" dxfId="1">
      <formula>1</formula>
      <formula>2</formula>
    </cfRule>
  </conditionalFormatting>
  <dataValidations count="1">
    <dataValidation sqref="F2:F124" showDropDown="0" showInputMessage="0" showErrorMessage="1" allowBlank="0" errorTitle="Остаток" error="Только целое число 0 или больше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5" t="inlineStr">
        <is>
          <t>Показатель</t>
        </is>
      </c>
      <c r="B1" s="5" t="inlineStr">
        <is>
          <t>Значение</t>
        </is>
      </c>
    </row>
    <row r="2">
      <c r="A2" t="inlineStr">
        <is>
          <t>Всего позиций (модель × цвет × размер)</t>
        </is>
      </c>
      <c r="B2">
        <f>COUNTA(stock!A2:A124)</f>
        <v/>
      </c>
    </row>
    <row r="3">
      <c r="A3" t="inlineStr">
        <is>
          <t>Всего штук на складе</t>
        </is>
      </c>
      <c r="B3">
        <f>SUM(stock!F2:F124)</f>
        <v/>
      </c>
    </row>
    <row r="4">
      <c r="A4" t="inlineStr">
        <is>
          <t>Закончились (0)</t>
        </is>
      </c>
      <c r="B4">
        <f>COUNTIF(stock!F2:F124,0)</f>
        <v/>
      </c>
    </row>
    <row r="5">
      <c r="A5" t="inlineStr">
        <is>
          <t>Заканчиваются (1–2)</t>
        </is>
      </c>
      <c r="B5">
        <f>COUNTIFS(stock!F2:F124,"&gt;=1",stock!F2:F124,"&lt;=2")</f>
        <v/>
      </c>
    </row>
    <row r="6">
      <c r="A6" t="inlineStr">
        <is>
          <t>Товар на сумму, ₽</t>
        </is>
      </c>
      <c r="B6">
        <f>SUMPRODUCT(stock!F2:F124,stock!H2:H124)</f>
        <v/>
      </c>
    </row>
    <row r="8">
      <c r="A8" s="6" t="inlineStr">
        <is>
          <t>Штук по категориям</t>
        </is>
      </c>
      <c r="B8" t="inlineStr"/>
    </row>
    <row r="9">
      <c r="A9" t="n">
        <v>5</v>
      </c>
      <c r="B9">
        <f>SUMIF(stock!G2:G124,"5",stock!F2:F124)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Склад «Носи носки» — как пользоваться</t>
        </is>
      </c>
    </row>
    <row r="2">
      <c r="A2" t="inlineStr"/>
    </row>
    <row r="3">
      <c r="A3" t="inlineStr">
        <is>
          <t>Меняйте только колонку «остаток» на листе stock. Фото подтягивается с сайта само.</t>
        </is>
      </c>
    </row>
    <row r="4">
      <c r="A4" t="inlineStr">
        <is>
          <t>Пришла партия — прибавьте к числу. Продали на Авито или вживую — уменьшите.</t>
        </is>
      </c>
    </row>
    <row r="5">
      <c r="A5" t="inlineStr">
        <is>
          <t>Продажи с сайта (когда подключим) спишутся сами и попадут на лист log.</t>
        </is>
      </c>
    </row>
    <row r="6">
      <c r="A6" t="inlineStr">
        <is>
          <t>Красный — закончилось, жёлтый — осталось 1–2 шт.</t>
        </is>
      </c>
    </row>
    <row r="7">
      <c r="A7" t="inlineStr">
        <is>
          <t>Чтобы найти модель: значок фильтра в заголовке «товар» → выбрать модель.</t>
        </is>
      </c>
    </row>
    <row r="8">
      <c r="A8" t="inlineStr">
        <is>
          <t>Колонку sku не меняйте: по ней сайт узнаёт позицию.</t>
        </is>
      </c>
    </row>
    <row r="9">
      <c r="A9" t="inlineStr">
        <is>
          <t>Лист «Итого» считает сам: сколько всего пар, что закончилось, сумма товара.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2026-10-15T16:24:18Z</dcterms:created>
  <dcterms:modified xmlns:dcterms="http://purl.org/dc/terms/" xmlns:xsi="http://www.w3.org/2001/XMLSchema-instance" xsi:type="dcterms:W3CDTF">2026-10-15T16:24:19Z</dcterms:modified>
</cp:coreProperties>
</file>